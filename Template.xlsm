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/>
  <mc:AlternateContent xmlns:mc="http://schemas.openxmlformats.org/markup-compatibility/2006">
    <mc:Choice Requires="x15">
      <x15ac:absPath xmlns:x15ac="http://schemas.microsoft.com/office/spreadsheetml/2010/11/ac" url="https://crowe-my.sharepoint.com/personal/achyuth_rachur_crowe_com/Documents/VS Code Programming Projects/cecl-dcf-testing/"/>
    </mc:Choice>
  </mc:AlternateContent>
  <xr:revisionPtr revIDLastSave="0" documentId="8_{3F981154-3BA4-4548-A2F6-C7C897955869}" xr6:coauthVersionLast="47" xr6:coauthVersionMax="47" xr10:uidLastSave="{00000000-0000-0000-0000-000000000000}"/>
  <bookViews>
    <workbookView xWindow="-28920" yWindow="-105" windowWidth="29040" windowHeight="15720" xr2:uid="{86B0650E-9BB8-4E34-B4BD-F9E586C92898}"/>
  </bookViews>
  <sheets>
    <sheet name="DCF Calc 3" sheetId="1" r:id="rId1"/>
  </sheets>
  <externalReferences>
    <externalReference r:id="rId2"/>
  </externalReferences>
  <definedNames>
    <definedName name="_xleta.ROUND" hidden="1" xlm="1">#NAME?</definedName>
    <definedName name="ActualRateToUse" localSheetId="0">'DCF Calc 3'!$J$8</definedName>
    <definedName name="ActualRateToUse">'[1]DCF Calc'!$J$8</definedName>
    <definedName name="AmortizationMultiplier" localSheetId="0">'DCF Calc 3'!$J$3</definedName>
    <definedName name="AmortizationMultiplier">'[1]DCF Calc'!$J$3</definedName>
    <definedName name="DCFSettings" localSheetId="0">'DCF Calc 3'!$D$2:$K$4</definedName>
    <definedName name="DCFSettingsCopy" localSheetId="0">'DCF Calc 3'!$R$2:$T$4</definedName>
    <definedName name="DiscountRate" localSheetId="0">'DCF Calc 3'!$J$4</definedName>
    <definedName name="DiscountRateToUse" localSheetId="0">'DCF Calc 3'!$J$7</definedName>
    <definedName name="InterestRate" localSheetId="0">'DCF Calc 3'!$C$5</definedName>
    <definedName name="InterestRate">'[1]DCF Calc'!$C$5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ossGivenDefault" localSheetId="0">'DCF Calc 3'!$E$4</definedName>
    <definedName name="ManualDiscountRate" localSheetId="0">'DCF Calc 3'!$J$5</definedName>
    <definedName name="PrepaymentRate" localSheetId="0">'DCF Calc 3'!$E$6</definedName>
    <definedName name="ProbabilityOfDefault" localSheetId="0">'DCF Calc 3'!$E$2</definedName>
    <definedName name="ReserveAmount" localSheetId="0">'DCF Calc 3'!$M$4</definedName>
    <definedName name="ReserveAmount">'[1]DCF Calc'!$M$4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3" i="1" l="1"/>
  <c r="B142" i="1"/>
  <c r="R142" i="1" s="1"/>
  <c r="B140" i="1"/>
  <c r="B141" i="1" s="1"/>
  <c r="R141" i="1" s="1"/>
  <c r="B139" i="1"/>
  <c r="R139" i="1" s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T82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T67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T51" i="1"/>
  <c r="R51" i="1"/>
  <c r="R50" i="1"/>
  <c r="R49" i="1"/>
  <c r="R48" i="1"/>
  <c r="T47" i="1"/>
  <c r="R47" i="1"/>
  <c r="R46" i="1"/>
  <c r="R45" i="1"/>
  <c r="R44" i="1"/>
  <c r="R43" i="1"/>
  <c r="R42" i="1"/>
  <c r="R41" i="1"/>
  <c r="R40" i="1"/>
  <c r="R39" i="1"/>
  <c r="R38" i="1"/>
  <c r="R37" i="1"/>
  <c r="R36" i="1"/>
  <c r="T35" i="1"/>
  <c r="R35" i="1"/>
  <c r="R34" i="1"/>
  <c r="R33" i="1"/>
  <c r="R32" i="1"/>
  <c r="S35" i="1" s="1"/>
  <c r="R31" i="1"/>
  <c r="R30" i="1"/>
  <c r="R29" i="1"/>
  <c r="R28" i="1"/>
  <c r="R27" i="1"/>
  <c r="R26" i="1"/>
  <c r="R25" i="1"/>
  <c r="R24" i="1"/>
  <c r="R23" i="1"/>
  <c r="R22" i="1"/>
  <c r="R21" i="1"/>
  <c r="R20" i="1"/>
  <c r="T19" i="1"/>
  <c r="S19" i="1"/>
  <c r="R19" i="1"/>
  <c r="C19" i="1"/>
  <c r="L19" i="1" s="1"/>
  <c r="R18" i="1"/>
  <c r="C18" i="1"/>
  <c r="L18" i="1" s="1"/>
  <c r="R17" i="1"/>
  <c r="L17" i="1"/>
  <c r="G17" i="1"/>
  <c r="D17" i="1"/>
  <c r="J8" i="1"/>
  <c r="J7" i="1"/>
  <c r="E7" i="1"/>
  <c r="K6" i="1"/>
  <c r="C4" i="1"/>
  <c r="J3" i="1"/>
  <c r="T71" i="1" s="1"/>
  <c r="S108" i="1" l="1"/>
  <c r="T23" i="1"/>
  <c r="S43" i="1"/>
  <c r="T55" i="1"/>
  <c r="S31" i="1"/>
  <c r="T43" i="1"/>
  <c r="S63" i="1"/>
  <c r="S23" i="1"/>
  <c r="S55" i="1"/>
  <c r="T141" i="1"/>
  <c r="T142" i="1"/>
  <c r="T138" i="1"/>
  <c r="T135" i="1"/>
  <c r="T133" i="1"/>
  <c r="T139" i="1"/>
  <c r="T137" i="1"/>
  <c r="T125" i="1"/>
  <c r="T121" i="1"/>
  <c r="T117" i="1"/>
  <c r="T113" i="1"/>
  <c r="T109" i="1"/>
  <c r="T105" i="1"/>
  <c r="T101" i="1"/>
  <c r="T97" i="1"/>
  <c r="T93" i="1"/>
  <c r="T89" i="1"/>
  <c r="T85" i="1"/>
  <c r="T81" i="1"/>
  <c r="T77" i="1"/>
  <c r="T73" i="1"/>
  <c r="T124" i="1"/>
  <c r="T120" i="1"/>
  <c r="T116" i="1"/>
  <c r="T112" i="1"/>
  <c r="T108" i="1"/>
  <c r="T104" i="1"/>
  <c r="T100" i="1"/>
  <c r="T96" i="1"/>
  <c r="T92" i="1"/>
  <c r="T88" i="1"/>
  <c r="T84" i="1"/>
  <c r="T80" i="1"/>
  <c r="T76" i="1"/>
  <c r="T129" i="1"/>
  <c r="T128" i="1"/>
  <c r="T127" i="1"/>
  <c r="T123" i="1"/>
  <c r="T119" i="1"/>
  <c r="T115" i="1"/>
  <c r="T111" i="1"/>
  <c r="T107" i="1"/>
  <c r="T103" i="1"/>
  <c r="T99" i="1"/>
  <c r="T95" i="1"/>
  <c r="T91" i="1"/>
  <c r="T87" i="1"/>
  <c r="T83" i="1"/>
  <c r="T79" i="1"/>
  <c r="T75" i="1"/>
  <c r="T132" i="1"/>
  <c r="T131" i="1"/>
  <c r="T130" i="1"/>
  <c r="T106" i="1"/>
  <c r="T74" i="1"/>
  <c r="T66" i="1"/>
  <c r="T62" i="1"/>
  <c r="T58" i="1"/>
  <c r="T54" i="1"/>
  <c r="T50" i="1"/>
  <c r="T46" i="1"/>
  <c r="T42" i="1"/>
  <c r="T38" i="1"/>
  <c r="T34" i="1"/>
  <c r="T30" i="1"/>
  <c r="T26" i="1"/>
  <c r="T22" i="1"/>
  <c r="T18" i="1"/>
  <c r="T118" i="1"/>
  <c r="T86" i="1"/>
  <c r="T98" i="1"/>
  <c r="T69" i="1"/>
  <c r="T65" i="1"/>
  <c r="T61" i="1"/>
  <c r="T57" i="1"/>
  <c r="T53" i="1"/>
  <c r="T49" i="1"/>
  <c r="T45" i="1"/>
  <c r="T41" i="1"/>
  <c r="T37" i="1"/>
  <c r="T33" i="1"/>
  <c r="T29" i="1"/>
  <c r="T25" i="1"/>
  <c r="T21" i="1"/>
  <c r="T17" i="1"/>
  <c r="E17" i="1" s="1"/>
  <c r="H17" i="1" s="1"/>
  <c r="T110" i="1"/>
  <c r="T78" i="1"/>
  <c r="T70" i="1"/>
  <c r="C14" i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F202" i="1" s="1"/>
  <c r="F203" i="1" s="1"/>
  <c r="F204" i="1" s="1"/>
  <c r="F205" i="1" s="1"/>
  <c r="F206" i="1" s="1"/>
  <c r="F207" i="1" s="1"/>
  <c r="F208" i="1" s="1"/>
  <c r="F209" i="1" s="1"/>
  <c r="F210" i="1" s="1"/>
  <c r="F211" i="1" s="1"/>
  <c r="F212" i="1" s="1"/>
  <c r="F213" i="1" s="1"/>
  <c r="F214" i="1" s="1"/>
  <c r="F215" i="1" s="1"/>
  <c r="F216" i="1" s="1"/>
  <c r="F217" i="1" s="1"/>
  <c r="F218" i="1" s="1"/>
  <c r="F219" i="1" s="1"/>
  <c r="F220" i="1" s="1"/>
  <c r="F221" i="1" s="1"/>
  <c r="F222" i="1" s="1"/>
  <c r="F223" i="1" s="1"/>
  <c r="F224" i="1" s="1"/>
  <c r="F225" i="1" s="1"/>
  <c r="F226" i="1" s="1"/>
  <c r="F227" i="1" s="1"/>
  <c r="F228" i="1" s="1"/>
  <c r="F229" i="1" s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T114" i="1"/>
  <c r="T136" i="1"/>
  <c r="T134" i="1"/>
  <c r="T122" i="1"/>
  <c r="T90" i="1"/>
  <c r="T72" i="1"/>
  <c r="T68" i="1"/>
  <c r="T64" i="1"/>
  <c r="T60" i="1"/>
  <c r="T56" i="1"/>
  <c r="T52" i="1"/>
  <c r="T48" i="1"/>
  <c r="T44" i="1"/>
  <c r="T40" i="1"/>
  <c r="T36" i="1"/>
  <c r="T32" i="1"/>
  <c r="T28" i="1"/>
  <c r="T24" i="1"/>
  <c r="T20" i="1"/>
  <c r="J4" i="1"/>
  <c r="T102" i="1"/>
  <c r="T31" i="1"/>
  <c r="S51" i="1"/>
  <c r="T63" i="1"/>
  <c r="B144" i="1"/>
  <c r="R143" i="1"/>
  <c r="T143" i="1" s="1"/>
  <c r="S76" i="1"/>
  <c r="S27" i="1"/>
  <c r="T39" i="1"/>
  <c r="S59" i="1"/>
  <c r="S120" i="1"/>
  <c r="S39" i="1"/>
  <c r="S88" i="1"/>
  <c r="C20" i="1"/>
  <c r="T27" i="1"/>
  <c r="S47" i="1"/>
  <c r="T59" i="1"/>
  <c r="T94" i="1"/>
  <c r="S67" i="1"/>
  <c r="T126" i="1"/>
  <c r="S20" i="1"/>
  <c r="S24" i="1"/>
  <c r="S28" i="1"/>
  <c r="S32" i="1"/>
  <c r="S36" i="1"/>
  <c r="S40" i="1"/>
  <c r="S44" i="1"/>
  <c r="S48" i="1"/>
  <c r="S52" i="1"/>
  <c r="S56" i="1"/>
  <c r="S60" i="1"/>
  <c r="S64" i="1"/>
  <c r="S68" i="1"/>
  <c r="S72" i="1"/>
  <c r="S96" i="1"/>
  <c r="S132" i="1"/>
  <c r="S138" i="1"/>
  <c r="S134" i="1"/>
  <c r="S130" i="1"/>
  <c r="S137" i="1"/>
  <c r="S139" i="1"/>
  <c r="S126" i="1"/>
  <c r="S122" i="1"/>
  <c r="S118" i="1"/>
  <c r="S114" i="1"/>
  <c r="S110" i="1"/>
  <c r="S106" i="1"/>
  <c r="S102" i="1"/>
  <c r="S98" i="1"/>
  <c r="S94" i="1"/>
  <c r="S90" i="1"/>
  <c r="S86" i="1"/>
  <c r="S82" i="1"/>
  <c r="S78" i="1"/>
  <c r="S74" i="1"/>
  <c r="S135" i="1"/>
  <c r="S133" i="1"/>
  <c r="S125" i="1"/>
  <c r="S121" i="1"/>
  <c r="S117" i="1"/>
  <c r="S113" i="1"/>
  <c r="S109" i="1"/>
  <c r="S105" i="1"/>
  <c r="S101" i="1"/>
  <c r="S97" i="1"/>
  <c r="S93" i="1"/>
  <c r="S89" i="1"/>
  <c r="S85" i="1"/>
  <c r="S81" i="1"/>
  <c r="S77" i="1"/>
  <c r="S73" i="1"/>
  <c r="S136" i="1"/>
  <c r="S129" i="1"/>
  <c r="S128" i="1"/>
  <c r="S127" i="1"/>
  <c r="S123" i="1"/>
  <c r="S119" i="1"/>
  <c r="S115" i="1"/>
  <c r="S111" i="1"/>
  <c r="S107" i="1"/>
  <c r="S103" i="1"/>
  <c r="S99" i="1"/>
  <c r="S95" i="1"/>
  <c r="S91" i="1"/>
  <c r="S87" i="1"/>
  <c r="S83" i="1"/>
  <c r="S79" i="1"/>
  <c r="S75" i="1"/>
  <c r="S71" i="1"/>
  <c r="S70" i="1"/>
  <c r="S84" i="1"/>
  <c r="S116" i="1"/>
  <c r="S17" i="1"/>
  <c r="S21" i="1"/>
  <c r="S25" i="1"/>
  <c r="S29" i="1"/>
  <c r="S33" i="1"/>
  <c r="S37" i="1"/>
  <c r="S41" i="1"/>
  <c r="S45" i="1"/>
  <c r="S49" i="1"/>
  <c r="S53" i="1"/>
  <c r="S57" i="1"/>
  <c r="S61" i="1"/>
  <c r="S65" i="1"/>
  <c r="S69" i="1"/>
  <c r="S104" i="1"/>
  <c r="S92" i="1"/>
  <c r="S124" i="1"/>
  <c r="S131" i="1"/>
  <c r="S18" i="1"/>
  <c r="S22" i="1"/>
  <c r="S26" i="1"/>
  <c r="S30" i="1"/>
  <c r="S34" i="1"/>
  <c r="S38" i="1"/>
  <c r="S42" i="1"/>
  <c r="S46" i="1"/>
  <c r="S50" i="1"/>
  <c r="S54" i="1"/>
  <c r="S58" i="1"/>
  <c r="S62" i="1"/>
  <c r="S66" i="1"/>
  <c r="S80" i="1"/>
  <c r="S112" i="1"/>
  <c r="S100" i="1"/>
  <c r="R140" i="1"/>
  <c r="J17" i="1" l="1"/>
  <c r="I17" i="1"/>
  <c r="C21" i="1"/>
  <c r="L20" i="1"/>
  <c r="S142" i="1"/>
  <c r="S141" i="1"/>
  <c r="T140" i="1"/>
  <c r="S143" i="1"/>
  <c r="S140" i="1"/>
  <c r="S144" i="1"/>
  <c r="R144" i="1"/>
  <c r="B145" i="1"/>
  <c r="B146" i="1" l="1"/>
  <c r="R145" i="1"/>
  <c r="C22" i="1"/>
  <c r="L21" i="1"/>
  <c r="K17" i="1"/>
  <c r="M17" i="1" s="1"/>
  <c r="T144" i="1"/>
  <c r="S145" i="1"/>
  <c r="O17" i="1"/>
  <c r="D18" i="1" s="1"/>
  <c r="T145" i="1" l="1"/>
  <c r="B147" i="1"/>
  <c r="R146" i="1"/>
  <c r="E18" i="1"/>
  <c r="G18" i="1"/>
  <c r="H18" i="1" s="1"/>
  <c r="L22" i="1"/>
  <c r="C23" i="1"/>
  <c r="I18" i="1" l="1"/>
  <c r="J18" i="1" s="1"/>
  <c r="T146" i="1"/>
  <c r="S146" i="1"/>
  <c r="S147" i="1"/>
  <c r="R147" i="1"/>
  <c r="B148" i="1"/>
  <c r="C24" i="1"/>
  <c r="L23" i="1"/>
  <c r="O18" i="1" l="1"/>
  <c r="D19" i="1" s="1"/>
  <c r="E19" i="1" s="1"/>
  <c r="C25" i="1"/>
  <c r="L24" i="1"/>
  <c r="K18" i="1"/>
  <c r="M18" i="1" s="1"/>
  <c r="B149" i="1"/>
  <c r="R148" i="1"/>
  <c r="T147" i="1"/>
  <c r="G19" i="1" l="1"/>
  <c r="H19" i="1" s="1"/>
  <c r="I19" i="1" s="1"/>
  <c r="J19" i="1" s="1"/>
  <c r="T148" i="1"/>
  <c r="R149" i="1"/>
  <c r="B150" i="1"/>
  <c r="S148" i="1"/>
  <c r="C26" i="1"/>
  <c r="L25" i="1"/>
  <c r="K19" i="1" l="1"/>
  <c r="M19" i="1" s="1"/>
  <c r="O19" i="1"/>
  <c r="D20" i="1" s="1"/>
  <c r="B151" i="1"/>
  <c r="R150" i="1"/>
  <c r="L26" i="1"/>
  <c r="C27" i="1"/>
  <c r="T149" i="1"/>
  <c r="S149" i="1"/>
  <c r="T150" i="1" l="1"/>
  <c r="S150" i="1"/>
  <c r="B152" i="1"/>
  <c r="R151" i="1"/>
  <c r="C28" i="1"/>
  <c r="L27" i="1"/>
  <c r="E20" i="1"/>
  <c r="G20" i="1"/>
  <c r="H20" i="1" s="1"/>
  <c r="I20" i="1" s="1"/>
  <c r="C29" i="1" l="1"/>
  <c r="L28" i="1"/>
  <c r="N25" i="1" s="1"/>
  <c r="T151" i="1"/>
  <c r="S151" i="1"/>
  <c r="R152" i="1"/>
  <c r="B153" i="1"/>
  <c r="J20" i="1"/>
  <c r="N29" i="1" l="1"/>
  <c r="C30" i="1"/>
  <c r="L29" i="1"/>
  <c r="N28" i="1"/>
  <c r="K20" i="1"/>
  <c r="M20" i="1" s="1"/>
  <c r="B154" i="1"/>
  <c r="R153" i="1"/>
  <c r="T152" i="1"/>
  <c r="S152" i="1"/>
  <c r="N27" i="1"/>
  <c r="N26" i="1"/>
  <c r="O20" i="1"/>
  <c r="D21" i="1" s="1"/>
  <c r="E21" i="1" l="1"/>
  <c r="G21" i="1"/>
  <c r="H21" i="1" s="1"/>
  <c r="B155" i="1"/>
  <c r="R154" i="1"/>
  <c r="T153" i="1"/>
  <c r="S153" i="1"/>
  <c r="L30" i="1"/>
  <c r="C31" i="1"/>
  <c r="N30" i="1"/>
  <c r="I21" i="1" l="1"/>
  <c r="R155" i="1"/>
  <c r="B156" i="1"/>
  <c r="J21" i="1"/>
  <c r="T154" i="1"/>
  <c r="S154" i="1"/>
  <c r="N31" i="1"/>
  <c r="C32" i="1"/>
  <c r="L31" i="1"/>
  <c r="K21" i="1" l="1"/>
  <c r="M21" i="1" s="1"/>
  <c r="N32" i="1"/>
  <c r="C33" i="1"/>
  <c r="L32" i="1"/>
  <c r="T155" i="1"/>
  <c r="S155" i="1"/>
  <c r="B157" i="1"/>
  <c r="R156" i="1"/>
  <c r="O21" i="1"/>
  <c r="D22" i="1" s="1"/>
  <c r="N33" i="1" l="1"/>
  <c r="C34" i="1"/>
  <c r="L33" i="1"/>
  <c r="E22" i="1"/>
  <c r="G22" i="1"/>
  <c r="T156" i="1"/>
  <c r="S156" i="1"/>
  <c r="R157" i="1"/>
  <c r="B158" i="1"/>
  <c r="B159" i="1" l="1"/>
  <c r="R158" i="1"/>
  <c r="T157" i="1"/>
  <c r="S157" i="1"/>
  <c r="H22" i="1"/>
  <c r="L34" i="1"/>
  <c r="C35" i="1"/>
  <c r="I22" i="1" l="1"/>
  <c r="J22" i="1"/>
  <c r="C36" i="1"/>
  <c r="L35" i="1"/>
  <c r="T158" i="1"/>
  <c r="S158" i="1"/>
  <c r="B160" i="1"/>
  <c r="R159" i="1"/>
  <c r="C37" i="1" l="1"/>
  <c r="L36" i="1"/>
  <c r="T159" i="1"/>
  <c r="S159" i="1"/>
  <c r="K22" i="1"/>
  <c r="M22" i="1" s="1"/>
  <c r="N34" i="1" s="1"/>
  <c r="R160" i="1"/>
  <c r="B161" i="1"/>
  <c r="O22" i="1"/>
  <c r="D23" i="1" s="1"/>
  <c r="E23" i="1" l="1"/>
  <c r="G23" i="1"/>
  <c r="C38" i="1"/>
  <c r="L37" i="1"/>
  <c r="R161" i="1"/>
  <c r="B162" i="1"/>
  <c r="T160" i="1"/>
  <c r="S160" i="1"/>
  <c r="H23" i="1" l="1"/>
  <c r="L38" i="1"/>
  <c r="C39" i="1"/>
  <c r="T161" i="1"/>
  <c r="S161" i="1"/>
  <c r="B163" i="1"/>
  <c r="R162" i="1"/>
  <c r="I23" i="1"/>
  <c r="J23" i="1" l="1"/>
  <c r="C40" i="1"/>
  <c r="L39" i="1"/>
  <c r="T162" i="1"/>
  <c r="S162" i="1"/>
  <c r="R163" i="1"/>
  <c r="B164" i="1"/>
  <c r="T163" i="1" l="1"/>
  <c r="S163" i="1"/>
  <c r="C41" i="1"/>
  <c r="L40" i="1"/>
  <c r="B165" i="1"/>
  <c r="R164" i="1"/>
  <c r="K23" i="1"/>
  <c r="M23" i="1" s="1"/>
  <c r="N35" i="1" s="1"/>
  <c r="O23" i="1"/>
  <c r="D24" i="1" s="1"/>
  <c r="T164" i="1" l="1"/>
  <c r="S164" i="1"/>
  <c r="R165" i="1"/>
  <c r="B166" i="1"/>
  <c r="C42" i="1"/>
  <c r="L41" i="1"/>
  <c r="E24" i="1"/>
  <c r="G24" i="1"/>
  <c r="H24" i="1" l="1"/>
  <c r="L42" i="1"/>
  <c r="C43" i="1"/>
  <c r="B167" i="1"/>
  <c r="R166" i="1"/>
  <c r="T165" i="1"/>
  <c r="S165" i="1"/>
  <c r="B168" i="1" l="1"/>
  <c r="R167" i="1"/>
  <c r="I24" i="1"/>
  <c r="T166" i="1"/>
  <c r="S166" i="1"/>
  <c r="C44" i="1"/>
  <c r="L43" i="1"/>
  <c r="J24" i="1" l="1"/>
  <c r="O24" i="1" s="1"/>
  <c r="D25" i="1" s="1"/>
  <c r="C45" i="1"/>
  <c r="L44" i="1"/>
  <c r="T167" i="1"/>
  <c r="S167" i="1"/>
  <c r="R168" i="1"/>
  <c r="B169" i="1"/>
  <c r="E25" i="1" l="1"/>
  <c r="G25" i="1"/>
  <c r="H25" i="1" s="1"/>
  <c r="C46" i="1"/>
  <c r="L45" i="1"/>
  <c r="R169" i="1"/>
  <c r="B170" i="1"/>
  <c r="T168" i="1"/>
  <c r="S168" i="1"/>
  <c r="K24" i="1"/>
  <c r="M24" i="1" s="1"/>
  <c r="N36" i="1" s="1"/>
  <c r="L46" i="1" l="1"/>
  <c r="C47" i="1"/>
  <c r="I25" i="1"/>
  <c r="P25" i="1" s="1"/>
  <c r="Q25" i="1" s="1"/>
  <c r="R170" i="1"/>
  <c r="B171" i="1"/>
  <c r="T169" i="1"/>
  <c r="S169" i="1"/>
  <c r="J25" i="1"/>
  <c r="T170" i="1" l="1"/>
  <c r="S170" i="1"/>
  <c r="C48" i="1"/>
  <c r="L47" i="1"/>
  <c r="K25" i="1"/>
  <c r="M25" i="1" s="1"/>
  <c r="N37" i="1" s="1"/>
  <c r="O25" i="1"/>
  <c r="D26" i="1" s="1"/>
  <c r="B172" i="1"/>
  <c r="R171" i="1"/>
  <c r="C49" i="1" l="1"/>
  <c r="L48" i="1"/>
  <c r="B173" i="1"/>
  <c r="R172" i="1"/>
  <c r="T171" i="1"/>
  <c r="S171" i="1"/>
  <c r="E26" i="1"/>
  <c r="G26" i="1"/>
  <c r="H26" i="1" s="1"/>
  <c r="I26" i="1" s="1"/>
  <c r="R173" i="1" l="1"/>
  <c r="B174" i="1"/>
  <c r="P26" i="1"/>
  <c r="Q26" i="1" s="1"/>
  <c r="C50" i="1"/>
  <c r="L49" i="1"/>
  <c r="T172" i="1"/>
  <c r="S172" i="1"/>
  <c r="J26" i="1"/>
  <c r="L50" i="1" l="1"/>
  <c r="C51" i="1"/>
  <c r="K26" i="1"/>
  <c r="M26" i="1" s="1"/>
  <c r="N38" i="1" s="1"/>
  <c r="O26" i="1"/>
  <c r="D27" i="1" s="1"/>
  <c r="R174" i="1"/>
  <c r="B175" i="1"/>
  <c r="T173" i="1"/>
  <c r="S173" i="1"/>
  <c r="T174" i="1" l="1"/>
  <c r="S174" i="1"/>
  <c r="E27" i="1"/>
  <c r="G27" i="1"/>
  <c r="H27" i="1" s="1"/>
  <c r="C52" i="1"/>
  <c r="L51" i="1"/>
  <c r="B176" i="1"/>
  <c r="R175" i="1"/>
  <c r="J27" i="1" l="1"/>
  <c r="I27" i="1"/>
  <c r="T175" i="1"/>
  <c r="S175" i="1"/>
  <c r="B177" i="1"/>
  <c r="R176" i="1"/>
  <c r="O27" i="1"/>
  <c r="D28" i="1" s="1"/>
  <c r="P27" i="1"/>
  <c r="Q27" i="1" s="1"/>
  <c r="C53" i="1"/>
  <c r="L52" i="1"/>
  <c r="T176" i="1" l="1"/>
  <c r="S176" i="1"/>
  <c r="B178" i="1"/>
  <c r="R177" i="1"/>
  <c r="C54" i="1"/>
  <c r="L53" i="1"/>
  <c r="E28" i="1"/>
  <c r="G28" i="1"/>
  <c r="H28" i="1" s="1"/>
  <c r="K27" i="1"/>
  <c r="M27" i="1" s="1"/>
  <c r="N39" i="1" s="1"/>
  <c r="L54" i="1" l="1"/>
  <c r="C55" i="1"/>
  <c r="T177" i="1"/>
  <c r="S177" i="1"/>
  <c r="R178" i="1"/>
  <c r="B179" i="1"/>
  <c r="I28" i="1"/>
  <c r="P28" i="1" s="1"/>
  <c r="Q28" i="1" s="1"/>
  <c r="C56" i="1" l="1"/>
  <c r="L55" i="1"/>
  <c r="R179" i="1"/>
  <c r="B180" i="1"/>
  <c r="J28" i="1"/>
  <c r="T178" i="1"/>
  <c r="S178" i="1"/>
  <c r="B181" i="1" l="1"/>
  <c r="R180" i="1"/>
  <c r="T179" i="1"/>
  <c r="S179" i="1"/>
  <c r="C57" i="1"/>
  <c r="L56" i="1"/>
  <c r="K28" i="1"/>
  <c r="M28" i="1" s="1"/>
  <c r="O28" i="1"/>
  <c r="D29" i="1" s="1"/>
  <c r="N17" i="1" l="1"/>
  <c r="P17" i="1" s="1"/>
  <c r="Q17" i="1" s="1"/>
  <c r="N20" i="1"/>
  <c r="P20" i="1" s="1"/>
  <c r="Q20" i="1" s="1"/>
  <c r="N23" i="1"/>
  <c r="P23" i="1" s="1"/>
  <c r="Q23" i="1" s="1"/>
  <c r="N19" i="1"/>
  <c r="P19" i="1" s="1"/>
  <c r="Q19" i="1" s="1"/>
  <c r="N22" i="1"/>
  <c r="P22" i="1" s="1"/>
  <c r="Q22" i="1" s="1"/>
  <c r="N21" i="1"/>
  <c r="P21" i="1" s="1"/>
  <c r="Q21" i="1" s="1"/>
  <c r="N24" i="1"/>
  <c r="P24" i="1" s="1"/>
  <c r="Q24" i="1" s="1"/>
  <c r="N40" i="1"/>
  <c r="E29" i="1"/>
  <c r="G29" i="1"/>
  <c r="H29" i="1" s="1"/>
  <c r="C58" i="1"/>
  <c r="L57" i="1"/>
  <c r="T180" i="1"/>
  <c r="S180" i="1"/>
  <c r="R181" i="1"/>
  <c r="B182" i="1"/>
  <c r="L58" i="1" l="1"/>
  <c r="C59" i="1"/>
  <c r="B183" i="1"/>
  <c r="R182" i="1"/>
  <c r="I29" i="1"/>
  <c r="J29" i="1" s="1"/>
  <c r="T181" i="1"/>
  <c r="S181" i="1"/>
  <c r="P29" i="1" l="1"/>
  <c r="Q29" i="1" s="1"/>
  <c r="T182" i="1"/>
  <c r="S182" i="1"/>
  <c r="K29" i="1"/>
  <c r="M29" i="1" s="1"/>
  <c r="N41" i="1" s="1"/>
  <c r="B184" i="1"/>
  <c r="R183" i="1"/>
  <c r="C60" i="1"/>
  <c r="L59" i="1"/>
  <c r="O29" i="1"/>
  <c r="D30" i="1" s="1"/>
  <c r="T183" i="1" l="1"/>
  <c r="S183" i="1"/>
  <c r="R184" i="1"/>
  <c r="B185" i="1"/>
  <c r="E30" i="1"/>
  <c r="G30" i="1"/>
  <c r="C61" i="1"/>
  <c r="L60" i="1"/>
  <c r="B186" i="1" l="1"/>
  <c r="R185" i="1"/>
  <c r="T184" i="1"/>
  <c r="S184" i="1"/>
  <c r="C62" i="1"/>
  <c r="L61" i="1"/>
  <c r="H30" i="1"/>
  <c r="L62" i="1" l="1"/>
  <c r="C63" i="1"/>
  <c r="I30" i="1"/>
  <c r="P30" i="1" s="1"/>
  <c r="Q30" i="1" s="1"/>
  <c r="T185" i="1"/>
  <c r="S185" i="1"/>
  <c r="R186" i="1"/>
  <c r="B187" i="1"/>
  <c r="J30" i="1" l="1"/>
  <c r="O30" i="1" s="1"/>
  <c r="D31" i="1" s="1"/>
  <c r="E31" i="1" s="1"/>
  <c r="B188" i="1"/>
  <c r="R187" i="1"/>
  <c r="T186" i="1"/>
  <c r="S186" i="1"/>
  <c r="C64" i="1"/>
  <c r="L63" i="1"/>
  <c r="G31" i="1" l="1"/>
  <c r="H31" i="1" s="1"/>
  <c r="J31" i="1" s="1"/>
  <c r="K30" i="1"/>
  <c r="M30" i="1" s="1"/>
  <c r="N42" i="1" s="1"/>
  <c r="T187" i="1"/>
  <c r="S187" i="1"/>
  <c r="C65" i="1"/>
  <c r="L64" i="1"/>
  <c r="B189" i="1"/>
  <c r="R188" i="1"/>
  <c r="I31" i="1"/>
  <c r="P31" i="1" s="1"/>
  <c r="Q31" i="1" s="1"/>
  <c r="R189" i="1" l="1"/>
  <c r="B190" i="1"/>
  <c r="C66" i="1"/>
  <c r="L65" i="1"/>
  <c r="K31" i="1"/>
  <c r="M31" i="1" s="1"/>
  <c r="N43" i="1" s="1"/>
  <c r="O31" i="1"/>
  <c r="D32" i="1" s="1"/>
  <c r="T188" i="1"/>
  <c r="S188" i="1"/>
  <c r="L66" i="1" l="1"/>
  <c r="C67" i="1"/>
  <c r="E32" i="1"/>
  <c r="G32" i="1"/>
  <c r="B191" i="1"/>
  <c r="R190" i="1"/>
  <c r="T189" i="1"/>
  <c r="S189" i="1"/>
  <c r="C68" i="1" l="1"/>
  <c r="L67" i="1"/>
  <c r="T190" i="1"/>
  <c r="S190" i="1"/>
  <c r="R191" i="1"/>
  <c r="B192" i="1"/>
  <c r="H32" i="1"/>
  <c r="T191" i="1" l="1"/>
  <c r="S191" i="1"/>
  <c r="I32" i="1"/>
  <c r="P32" i="1" s="1"/>
  <c r="Q32" i="1" s="1"/>
  <c r="C69" i="1"/>
  <c r="L68" i="1"/>
  <c r="R192" i="1"/>
  <c r="B193" i="1"/>
  <c r="J32" i="1" l="1"/>
  <c r="T192" i="1"/>
  <c r="S192" i="1"/>
  <c r="B194" i="1"/>
  <c r="R193" i="1"/>
  <c r="C70" i="1"/>
  <c r="L69" i="1"/>
  <c r="T193" i="1" l="1"/>
  <c r="S193" i="1"/>
  <c r="R194" i="1"/>
  <c r="B195" i="1"/>
  <c r="K32" i="1"/>
  <c r="M32" i="1" s="1"/>
  <c r="N44" i="1" s="1"/>
  <c r="C71" i="1"/>
  <c r="L70" i="1"/>
  <c r="O32" i="1"/>
  <c r="D33" i="1" s="1"/>
  <c r="B196" i="1" l="1"/>
  <c r="R195" i="1"/>
  <c r="L71" i="1"/>
  <c r="C72" i="1"/>
  <c r="T194" i="1"/>
  <c r="S194" i="1"/>
  <c r="E33" i="1"/>
  <c r="G33" i="1"/>
  <c r="H33" i="1" s="1"/>
  <c r="C73" i="1" l="1"/>
  <c r="L72" i="1"/>
  <c r="I33" i="1"/>
  <c r="P33" i="1" s="1"/>
  <c r="Q33" i="1" s="1"/>
  <c r="J33" i="1"/>
  <c r="T195" i="1"/>
  <c r="S195" i="1"/>
  <c r="B197" i="1"/>
  <c r="R196" i="1"/>
  <c r="K33" i="1" l="1"/>
  <c r="M33" i="1" s="1"/>
  <c r="N45" i="1" s="1"/>
  <c r="T196" i="1"/>
  <c r="S196" i="1"/>
  <c r="R197" i="1"/>
  <c r="B198" i="1"/>
  <c r="C74" i="1"/>
  <c r="L73" i="1"/>
  <c r="O33" i="1"/>
  <c r="D34" i="1" s="1"/>
  <c r="R198" i="1" l="1"/>
  <c r="B199" i="1"/>
  <c r="C75" i="1"/>
  <c r="L74" i="1"/>
  <c r="E34" i="1"/>
  <c r="G34" i="1"/>
  <c r="T197" i="1"/>
  <c r="S197" i="1"/>
  <c r="H34" i="1" l="1"/>
  <c r="I34" i="1" s="1"/>
  <c r="J34" i="1" s="1"/>
  <c r="K34" i="1" s="1"/>
  <c r="M34" i="1" s="1"/>
  <c r="N46" i="1" s="1"/>
  <c r="L75" i="1"/>
  <c r="C76" i="1"/>
  <c r="B200" i="1"/>
  <c r="R199" i="1"/>
  <c r="T198" i="1"/>
  <c r="S198" i="1"/>
  <c r="O34" i="1" l="1"/>
  <c r="D35" i="1" s="1"/>
  <c r="P34" i="1"/>
  <c r="Q34" i="1" s="1"/>
  <c r="B201" i="1"/>
  <c r="R200" i="1"/>
  <c r="C77" i="1"/>
  <c r="L76" i="1"/>
  <c r="E35" i="1"/>
  <c r="G35" i="1"/>
  <c r="H35" i="1" s="1"/>
  <c r="T199" i="1"/>
  <c r="S199" i="1"/>
  <c r="I35" i="1" l="1"/>
  <c r="J35" i="1" s="1"/>
  <c r="T200" i="1"/>
  <c r="S200" i="1"/>
  <c r="C78" i="1"/>
  <c r="L77" i="1"/>
  <c r="R201" i="1"/>
  <c r="B202" i="1"/>
  <c r="C79" i="1" l="1"/>
  <c r="L78" i="1"/>
  <c r="B203" i="1"/>
  <c r="R202" i="1"/>
  <c r="T201" i="1"/>
  <c r="S201" i="1"/>
  <c r="K35" i="1"/>
  <c r="M35" i="1" s="1"/>
  <c r="N47" i="1" s="1"/>
  <c r="O35" i="1"/>
  <c r="D36" i="1" s="1"/>
  <c r="P35" i="1"/>
  <c r="Q35" i="1" s="1"/>
  <c r="T202" i="1" l="1"/>
  <c r="S202" i="1"/>
  <c r="R203" i="1"/>
  <c r="B204" i="1"/>
  <c r="E36" i="1"/>
  <c r="G36" i="1"/>
  <c r="L79" i="1"/>
  <c r="C80" i="1"/>
  <c r="C81" i="1" l="1"/>
  <c r="L80" i="1"/>
  <c r="R204" i="1"/>
  <c r="B205" i="1"/>
  <c r="T203" i="1"/>
  <c r="S203" i="1"/>
  <c r="H36" i="1"/>
  <c r="T204" i="1" l="1"/>
  <c r="S204" i="1"/>
  <c r="R205" i="1"/>
  <c r="B206" i="1"/>
  <c r="C82" i="1"/>
  <c r="L81" i="1"/>
  <c r="I36" i="1"/>
  <c r="P36" i="1" s="1"/>
  <c r="Q36" i="1" s="1"/>
  <c r="J36" i="1"/>
  <c r="K36" i="1" l="1"/>
  <c r="M36" i="1" s="1"/>
  <c r="N48" i="1" s="1"/>
  <c r="C83" i="1"/>
  <c r="L82" i="1"/>
  <c r="B207" i="1"/>
  <c r="R206" i="1"/>
  <c r="T205" i="1"/>
  <c r="S205" i="1"/>
  <c r="O36" i="1"/>
  <c r="D37" i="1" s="1"/>
  <c r="B208" i="1" l="1"/>
  <c r="R207" i="1"/>
  <c r="L83" i="1"/>
  <c r="C84" i="1"/>
  <c r="E37" i="1"/>
  <c r="G37" i="1"/>
  <c r="T206" i="1"/>
  <c r="S206" i="1"/>
  <c r="C85" i="1" l="1"/>
  <c r="L84" i="1"/>
  <c r="H37" i="1"/>
  <c r="T207" i="1"/>
  <c r="S207" i="1"/>
  <c r="R208" i="1"/>
  <c r="B209" i="1"/>
  <c r="I37" i="1" l="1"/>
  <c r="P37" i="1" s="1"/>
  <c r="Q37" i="1" s="1"/>
  <c r="C86" i="1"/>
  <c r="L85" i="1"/>
  <c r="B210" i="1"/>
  <c r="R209" i="1"/>
  <c r="T208" i="1"/>
  <c r="S208" i="1"/>
  <c r="C87" i="1" l="1"/>
  <c r="L86" i="1"/>
  <c r="T209" i="1"/>
  <c r="S209" i="1"/>
  <c r="B211" i="1"/>
  <c r="R210" i="1"/>
  <c r="J37" i="1"/>
  <c r="L87" i="1" l="1"/>
  <c r="C88" i="1"/>
  <c r="R211" i="1"/>
  <c r="B212" i="1"/>
  <c r="K37" i="1"/>
  <c r="M37" i="1" s="1"/>
  <c r="N49" i="1" s="1"/>
  <c r="O37" i="1"/>
  <c r="D38" i="1" s="1"/>
  <c r="T210" i="1"/>
  <c r="S210" i="1"/>
  <c r="R212" i="1" l="1"/>
  <c r="B213" i="1"/>
  <c r="T211" i="1"/>
  <c r="S211" i="1"/>
  <c r="C89" i="1"/>
  <c r="L88" i="1"/>
  <c r="E38" i="1"/>
  <c r="G38" i="1"/>
  <c r="H38" i="1" s="1"/>
  <c r="C90" i="1" l="1"/>
  <c r="L89" i="1"/>
  <c r="I38" i="1"/>
  <c r="P38" i="1" s="1"/>
  <c r="Q38" i="1" s="1"/>
  <c r="B214" i="1"/>
  <c r="R213" i="1"/>
  <c r="T212" i="1"/>
  <c r="S212" i="1"/>
  <c r="J38" i="1" l="1"/>
  <c r="O38" i="1" s="1"/>
  <c r="D39" i="1" s="1"/>
  <c r="E39" i="1" s="1"/>
  <c r="T213" i="1"/>
  <c r="S213" i="1"/>
  <c r="B215" i="1"/>
  <c r="R214" i="1"/>
  <c r="C91" i="1"/>
  <c r="L90" i="1"/>
  <c r="G39" i="1" l="1"/>
  <c r="H39" i="1" s="1"/>
  <c r="I39" i="1" s="1"/>
  <c r="K38" i="1"/>
  <c r="M38" i="1" s="1"/>
  <c r="N50" i="1" s="1"/>
  <c r="L91" i="1"/>
  <c r="C92" i="1"/>
  <c r="B216" i="1"/>
  <c r="R215" i="1"/>
  <c r="T214" i="1"/>
  <c r="S214" i="1"/>
  <c r="J39" i="1"/>
  <c r="O39" i="1" s="1"/>
  <c r="D40" i="1" s="1"/>
  <c r="P39" i="1" l="1"/>
  <c r="Q39" i="1" s="1"/>
  <c r="E40" i="1"/>
  <c r="G40" i="1"/>
  <c r="H40" i="1" s="1"/>
  <c r="B217" i="1"/>
  <c r="R216" i="1"/>
  <c r="C93" i="1"/>
  <c r="L92" i="1"/>
  <c r="K39" i="1"/>
  <c r="M39" i="1" s="1"/>
  <c r="N51" i="1" s="1"/>
  <c r="T215" i="1"/>
  <c r="S215" i="1"/>
  <c r="T216" i="1" l="1"/>
  <c r="S216" i="1"/>
  <c r="B218" i="1"/>
  <c r="R217" i="1"/>
  <c r="I40" i="1"/>
  <c r="J40" i="1" s="1"/>
  <c r="O40" i="1" s="1"/>
  <c r="D41" i="1" s="1"/>
  <c r="C94" i="1"/>
  <c r="L93" i="1"/>
  <c r="P40" i="1" l="1"/>
  <c r="Q40" i="1" s="1"/>
  <c r="E41" i="1"/>
  <c r="G41" i="1"/>
  <c r="H41" i="1" s="1"/>
  <c r="C95" i="1"/>
  <c r="L94" i="1"/>
  <c r="T217" i="1"/>
  <c r="S217" i="1"/>
  <c r="B219" i="1"/>
  <c r="R218" i="1"/>
  <c r="K40" i="1"/>
  <c r="M40" i="1" s="1"/>
  <c r="N52" i="1" s="1"/>
  <c r="T218" i="1" l="1"/>
  <c r="S218" i="1"/>
  <c r="I41" i="1"/>
  <c r="L95" i="1"/>
  <c r="C96" i="1"/>
  <c r="R219" i="1"/>
  <c r="B220" i="1"/>
  <c r="J41" i="1"/>
  <c r="O41" i="1" l="1"/>
  <c r="D42" i="1" s="1"/>
  <c r="E42" i="1"/>
  <c r="G42" i="1"/>
  <c r="H42" i="1" s="1"/>
  <c r="R220" i="1"/>
  <c r="B221" i="1"/>
  <c r="P41" i="1"/>
  <c r="Q41" i="1" s="1"/>
  <c r="K41" i="1"/>
  <c r="M41" i="1" s="1"/>
  <c r="N53" i="1" s="1"/>
  <c r="T219" i="1"/>
  <c r="S219" i="1"/>
  <c r="C97" i="1"/>
  <c r="L96" i="1"/>
  <c r="C98" i="1" l="1"/>
  <c r="L97" i="1"/>
  <c r="T220" i="1"/>
  <c r="S220" i="1"/>
  <c r="I42" i="1"/>
  <c r="J42" i="1" s="1"/>
  <c r="B222" i="1"/>
  <c r="R221" i="1"/>
  <c r="P42" i="1" l="1"/>
  <c r="Q42" i="1" s="1"/>
  <c r="K42" i="1"/>
  <c r="M42" i="1" s="1"/>
  <c r="N54" i="1" s="1"/>
  <c r="T221" i="1"/>
  <c r="S221" i="1"/>
  <c r="O42" i="1"/>
  <c r="D43" i="1" s="1"/>
  <c r="R222" i="1"/>
  <c r="B223" i="1"/>
  <c r="C99" i="1"/>
  <c r="L98" i="1"/>
  <c r="B224" i="1" l="1"/>
  <c r="R223" i="1"/>
  <c r="E43" i="1"/>
  <c r="G43" i="1"/>
  <c r="H43" i="1" s="1"/>
  <c r="T222" i="1"/>
  <c r="S222" i="1"/>
  <c r="L99" i="1"/>
  <c r="C100" i="1"/>
  <c r="C101" i="1" l="1"/>
  <c r="L100" i="1"/>
  <c r="I43" i="1"/>
  <c r="P43" i="1" s="1"/>
  <c r="Q43" i="1" s="1"/>
  <c r="T223" i="1"/>
  <c r="S223" i="1"/>
  <c r="R224" i="1"/>
  <c r="B225" i="1"/>
  <c r="T224" i="1" l="1"/>
  <c r="S224" i="1"/>
  <c r="C102" i="1"/>
  <c r="L101" i="1"/>
  <c r="B226" i="1"/>
  <c r="R225" i="1"/>
  <c r="J43" i="1"/>
  <c r="C103" i="1" l="1"/>
  <c r="L102" i="1"/>
  <c r="K43" i="1"/>
  <c r="M43" i="1" s="1"/>
  <c r="N55" i="1" s="1"/>
  <c r="T225" i="1"/>
  <c r="S225" i="1"/>
  <c r="B227" i="1"/>
  <c r="R226" i="1"/>
  <c r="O43" i="1"/>
  <c r="D44" i="1" s="1"/>
  <c r="E44" i="1" l="1"/>
  <c r="G44" i="1"/>
  <c r="H44" i="1" s="1"/>
  <c r="T226" i="1"/>
  <c r="S226" i="1"/>
  <c r="L103" i="1"/>
  <c r="C104" i="1"/>
  <c r="R227" i="1"/>
  <c r="B228" i="1"/>
  <c r="R228" i="1" l="1"/>
  <c r="B229" i="1"/>
  <c r="T227" i="1"/>
  <c r="S227" i="1"/>
  <c r="I44" i="1"/>
  <c r="J44" i="1" s="1"/>
  <c r="C105" i="1"/>
  <c r="L104" i="1"/>
  <c r="P44" i="1" l="1"/>
  <c r="Q44" i="1" s="1"/>
  <c r="K44" i="1"/>
  <c r="M44" i="1" s="1"/>
  <c r="N56" i="1" s="1"/>
  <c r="O44" i="1"/>
  <c r="D45" i="1" s="1"/>
  <c r="B230" i="1"/>
  <c r="R229" i="1"/>
  <c r="C106" i="1"/>
  <c r="L105" i="1"/>
  <c r="T228" i="1"/>
  <c r="S228" i="1"/>
  <c r="C107" i="1" l="1"/>
  <c r="L106" i="1"/>
  <c r="T229" i="1"/>
  <c r="S229" i="1"/>
  <c r="B231" i="1"/>
  <c r="R230" i="1"/>
  <c r="E45" i="1"/>
  <c r="G45" i="1"/>
  <c r="H45" i="1" s="1"/>
  <c r="R231" i="1" l="1"/>
  <c r="B232" i="1"/>
  <c r="L107" i="1"/>
  <c r="C108" i="1"/>
  <c r="I45" i="1"/>
  <c r="P45" i="1" s="1"/>
  <c r="Q45" i="1" s="1"/>
  <c r="T230" i="1"/>
  <c r="S230" i="1"/>
  <c r="J45" i="1" l="1"/>
  <c r="K45" i="1" s="1"/>
  <c r="M45" i="1" s="1"/>
  <c r="N57" i="1" s="1"/>
  <c r="R232" i="1"/>
  <c r="B233" i="1"/>
  <c r="C109" i="1"/>
  <c r="L108" i="1"/>
  <c r="T231" i="1"/>
  <c r="S231" i="1"/>
  <c r="O45" i="1" l="1"/>
  <c r="D46" i="1" s="1"/>
  <c r="C110" i="1"/>
  <c r="L109" i="1"/>
  <c r="T232" i="1"/>
  <c r="S232" i="1"/>
  <c r="E46" i="1"/>
  <c r="G46" i="1"/>
  <c r="H46" i="1" s="1"/>
  <c r="B234" i="1"/>
  <c r="R233" i="1"/>
  <c r="B235" i="1" l="1"/>
  <c r="R234" i="1"/>
  <c r="T233" i="1"/>
  <c r="S233" i="1"/>
  <c r="I46" i="1"/>
  <c r="J46" i="1" s="1"/>
  <c r="C111" i="1"/>
  <c r="L110" i="1"/>
  <c r="O46" i="1" l="1"/>
  <c r="D47" i="1" s="1"/>
  <c r="K46" i="1"/>
  <c r="M46" i="1" s="1"/>
  <c r="N58" i="1" s="1"/>
  <c r="P46" i="1"/>
  <c r="Q46" i="1" s="1"/>
  <c r="T234" i="1"/>
  <c r="S234" i="1"/>
  <c r="L111" i="1"/>
  <c r="C112" i="1"/>
  <c r="R235" i="1"/>
  <c r="B236" i="1"/>
  <c r="R236" i="1" l="1"/>
  <c r="B237" i="1"/>
  <c r="T235" i="1"/>
  <c r="S235" i="1"/>
  <c r="C113" i="1"/>
  <c r="L112" i="1"/>
  <c r="E47" i="1"/>
  <c r="G47" i="1"/>
  <c r="H47" i="1" s="1"/>
  <c r="C114" i="1" l="1"/>
  <c r="L113" i="1"/>
  <c r="I47" i="1"/>
  <c r="P47" i="1" s="1"/>
  <c r="Q47" i="1" s="1"/>
  <c r="R237" i="1"/>
  <c r="B238" i="1"/>
  <c r="T236" i="1"/>
  <c r="S236" i="1"/>
  <c r="B239" i="1" l="1"/>
  <c r="R238" i="1"/>
  <c r="T237" i="1"/>
  <c r="S237" i="1"/>
  <c r="C115" i="1"/>
  <c r="L114" i="1"/>
  <c r="J47" i="1"/>
  <c r="L115" i="1" l="1"/>
  <c r="C116" i="1"/>
  <c r="T238" i="1"/>
  <c r="S238" i="1"/>
  <c r="K47" i="1"/>
  <c r="M47" i="1" s="1"/>
  <c r="N59" i="1" s="1"/>
  <c r="R239" i="1"/>
  <c r="B240" i="1"/>
  <c r="O47" i="1"/>
  <c r="D48" i="1" s="1"/>
  <c r="C117" i="1" l="1"/>
  <c r="L116" i="1"/>
  <c r="E48" i="1"/>
  <c r="G48" i="1"/>
  <c r="B241" i="1"/>
  <c r="R240" i="1"/>
  <c r="T239" i="1"/>
  <c r="S239" i="1"/>
  <c r="T240" i="1" l="1"/>
  <c r="S240" i="1"/>
  <c r="B242" i="1"/>
  <c r="R241" i="1"/>
  <c r="C118" i="1"/>
  <c r="L117" i="1"/>
  <c r="H48" i="1"/>
  <c r="T241" i="1" l="1"/>
  <c r="S241" i="1"/>
  <c r="B243" i="1"/>
  <c r="R242" i="1"/>
  <c r="C119" i="1"/>
  <c r="L118" i="1"/>
  <c r="J48" i="1"/>
  <c r="I48" i="1"/>
  <c r="P48" i="1" s="1"/>
  <c r="Q48" i="1" s="1"/>
  <c r="O48" i="1" l="1"/>
  <c r="D49" i="1" s="1"/>
  <c r="E49" i="1"/>
  <c r="G49" i="1"/>
  <c r="H49" i="1" s="1"/>
  <c r="L119" i="1"/>
  <c r="C120" i="1"/>
  <c r="T242" i="1"/>
  <c r="S242" i="1"/>
  <c r="K48" i="1"/>
  <c r="M48" i="1" s="1"/>
  <c r="N60" i="1" s="1"/>
  <c r="R243" i="1"/>
  <c r="B244" i="1"/>
  <c r="T243" i="1" l="1"/>
  <c r="S243" i="1"/>
  <c r="R244" i="1"/>
  <c r="B245" i="1"/>
  <c r="I49" i="1"/>
  <c r="P49" i="1" s="1"/>
  <c r="Q49" i="1" s="1"/>
  <c r="C121" i="1"/>
  <c r="L120" i="1"/>
  <c r="T244" i="1" l="1"/>
  <c r="S244" i="1"/>
  <c r="C122" i="1"/>
  <c r="L121" i="1"/>
  <c r="J49" i="1"/>
  <c r="O49" i="1" s="1"/>
  <c r="D50" i="1" s="1"/>
  <c r="B246" i="1"/>
  <c r="R245" i="1"/>
  <c r="E50" i="1" l="1"/>
  <c r="G50" i="1"/>
  <c r="H50" i="1" s="1"/>
  <c r="C123" i="1"/>
  <c r="L122" i="1"/>
  <c r="T245" i="1"/>
  <c r="S245" i="1"/>
  <c r="K49" i="1"/>
  <c r="M49" i="1" s="1"/>
  <c r="N61" i="1" s="1"/>
  <c r="B247" i="1"/>
  <c r="R246" i="1"/>
  <c r="T246" i="1" l="1"/>
  <c r="S246" i="1"/>
  <c r="L123" i="1"/>
  <c r="C124" i="1"/>
  <c r="R247" i="1"/>
  <c r="B248" i="1"/>
  <c r="I50" i="1"/>
  <c r="P50" i="1" s="1"/>
  <c r="Q50" i="1" s="1"/>
  <c r="J50" i="1"/>
  <c r="T247" i="1" l="1"/>
  <c r="S247" i="1"/>
  <c r="O50" i="1"/>
  <c r="D51" i="1" s="1"/>
  <c r="K50" i="1"/>
  <c r="M50" i="1" s="1"/>
  <c r="N62" i="1" s="1"/>
  <c r="C125" i="1"/>
  <c r="L124" i="1"/>
  <c r="R248" i="1"/>
  <c r="B249" i="1"/>
  <c r="C126" i="1" l="1"/>
  <c r="L125" i="1"/>
  <c r="B250" i="1"/>
  <c r="R249" i="1"/>
  <c r="E51" i="1"/>
  <c r="G51" i="1"/>
  <c r="H51" i="1" s="1"/>
  <c r="T248" i="1"/>
  <c r="S248" i="1"/>
  <c r="T249" i="1" l="1"/>
  <c r="S249" i="1"/>
  <c r="B251" i="1"/>
  <c r="R250" i="1"/>
  <c r="I51" i="1"/>
  <c r="J51" i="1" s="1"/>
  <c r="C127" i="1"/>
  <c r="L126" i="1"/>
  <c r="K51" i="1" l="1"/>
  <c r="M51" i="1" s="1"/>
  <c r="N63" i="1" s="1"/>
  <c r="O51" i="1"/>
  <c r="D52" i="1" s="1"/>
  <c r="T250" i="1"/>
  <c r="S250" i="1"/>
  <c r="R251" i="1"/>
  <c r="B252" i="1"/>
  <c r="L127" i="1"/>
  <c r="C128" i="1"/>
  <c r="P51" i="1"/>
  <c r="Q51" i="1" s="1"/>
  <c r="R252" i="1" l="1"/>
  <c r="B253" i="1"/>
  <c r="T251" i="1"/>
  <c r="S251" i="1"/>
  <c r="E52" i="1"/>
  <c r="G52" i="1"/>
  <c r="L128" i="1"/>
  <c r="C129" i="1"/>
  <c r="C130" i="1" l="1"/>
  <c r="L129" i="1"/>
  <c r="R253" i="1"/>
  <c r="B254" i="1"/>
  <c r="H52" i="1"/>
  <c r="T252" i="1"/>
  <c r="S252" i="1"/>
  <c r="B255" i="1" l="1"/>
  <c r="R254" i="1"/>
  <c r="T253" i="1"/>
  <c r="S253" i="1"/>
  <c r="I52" i="1"/>
  <c r="P52" i="1" s="1"/>
  <c r="Q52" i="1" s="1"/>
  <c r="J52" i="1"/>
  <c r="C131" i="1"/>
  <c r="L130" i="1"/>
  <c r="O52" i="1" l="1"/>
  <c r="D53" i="1" s="1"/>
  <c r="K52" i="1"/>
  <c r="M52" i="1" s="1"/>
  <c r="N64" i="1" s="1"/>
  <c r="C132" i="1"/>
  <c r="L131" i="1"/>
  <c r="T254" i="1"/>
  <c r="S254" i="1"/>
  <c r="R255" i="1"/>
  <c r="B256" i="1"/>
  <c r="C133" i="1" l="1"/>
  <c r="L132" i="1"/>
  <c r="B257" i="1"/>
  <c r="R256" i="1"/>
  <c r="T255" i="1"/>
  <c r="S255" i="1"/>
  <c r="E53" i="1"/>
  <c r="G53" i="1"/>
  <c r="H53" i="1" s="1"/>
  <c r="B258" i="1" l="1"/>
  <c r="R257" i="1"/>
  <c r="I53" i="1"/>
  <c r="P53" i="1" s="1"/>
  <c r="Q53" i="1" s="1"/>
  <c r="T256" i="1"/>
  <c r="S256" i="1"/>
  <c r="C134" i="1"/>
  <c r="L133" i="1"/>
  <c r="J53" i="1"/>
  <c r="O53" i="1" s="1"/>
  <c r="D54" i="1" s="1"/>
  <c r="E54" i="1" l="1"/>
  <c r="G54" i="1"/>
  <c r="H54" i="1" s="1"/>
  <c r="T257" i="1"/>
  <c r="S257" i="1"/>
  <c r="K53" i="1"/>
  <c r="M53" i="1" s="1"/>
  <c r="N65" i="1" s="1"/>
  <c r="B259" i="1"/>
  <c r="R258" i="1"/>
  <c r="C135" i="1"/>
  <c r="L134" i="1"/>
  <c r="I54" i="1" l="1"/>
  <c r="P54" i="1" s="1"/>
  <c r="Q54" i="1" s="1"/>
  <c r="T258" i="1"/>
  <c r="S258" i="1"/>
  <c r="R259" i="1"/>
  <c r="B260" i="1"/>
  <c r="C136" i="1"/>
  <c r="L135" i="1"/>
  <c r="J54" i="1"/>
  <c r="O54" i="1" s="1"/>
  <c r="D55" i="1" s="1"/>
  <c r="E55" i="1" l="1"/>
  <c r="G55" i="1"/>
  <c r="H55" i="1" s="1"/>
  <c r="B261" i="1"/>
  <c r="R260" i="1"/>
  <c r="C137" i="1"/>
  <c r="L136" i="1"/>
  <c r="T259" i="1"/>
  <c r="S259" i="1"/>
  <c r="K54" i="1"/>
  <c r="M54" i="1" s="1"/>
  <c r="N66" i="1" s="1"/>
  <c r="T260" i="1" l="1"/>
  <c r="S260" i="1"/>
  <c r="B262" i="1"/>
  <c r="R261" i="1"/>
  <c r="I55" i="1"/>
  <c r="P55" i="1" s="1"/>
  <c r="Q55" i="1" s="1"/>
  <c r="C138" i="1"/>
  <c r="L137" i="1"/>
  <c r="J55" i="1"/>
  <c r="O55" i="1" s="1"/>
  <c r="D56" i="1" s="1"/>
  <c r="E56" i="1" l="1"/>
  <c r="G56" i="1"/>
  <c r="H56" i="1" s="1"/>
  <c r="K55" i="1"/>
  <c r="M55" i="1" s="1"/>
  <c r="N67" i="1" s="1"/>
  <c r="T261" i="1"/>
  <c r="S261" i="1"/>
  <c r="B263" i="1"/>
  <c r="R262" i="1"/>
  <c r="C139" i="1"/>
  <c r="L138" i="1"/>
  <c r="L139" i="1" l="1"/>
  <c r="C140" i="1"/>
  <c r="I56" i="1"/>
  <c r="P56" i="1" s="1"/>
  <c r="Q56" i="1" s="1"/>
  <c r="T262" i="1"/>
  <c r="S262" i="1"/>
  <c r="B264" i="1"/>
  <c r="R263" i="1"/>
  <c r="J56" i="1" l="1"/>
  <c r="O56" i="1" s="1"/>
  <c r="D57" i="1" s="1"/>
  <c r="R264" i="1"/>
  <c r="B265" i="1"/>
  <c r="T263" i="1"/>
  <c r="S263" i="1"/>
  <c r="C141" i="1"/>
  <c r="L140" i="1"/>
  <c r="K56" i="1" l="1"/>
  <c r="M56" i="1" s="1"/>
  <c r="N68" i="1" s="1"/>
  <c r="B266" i="1"/>
  <c r="R265" i="1"/>
  <c r="T264" i="1"/>
  <c r="S264" i="1"/>
  <c r="L141" i="1"/>
  <c r="C142" i="1"/>
  <c r="E57" i="1"/>
  <c r="G57" i="1"/>
  <c r="H57" i="1" s="1"/>
  <c r="L142" i="1" l="1"/>
  <c r="C143" i="1"/>
  <c r="I57" i="1"/>
  <c r="J57" i="1" s="1"/>
  <c r="T265" i="1"/>
  <c r="S265" i="1"/>
  <c r="B267" i="1"/>
  <c r="R266" i="1"/>
  <c r="K57" i="1" l="1"/>
  <c r="M57" i="1" s="1"/>
  <c r="N69" i="1" s="1"/>
  <c r="O57" i="1"/>
  <c r="D58" i="1" s="1"/>
  <c r="P57" i="1"/>
  <c r="Q57" i="1" s="1"/>
  <c r="T266" i="1"/>
  <c r="S266" i="1"/>
  <c r="C144" i="1"/>
  <c r="L143" i="1"/>
  <c r="R267" i="1"/>
  <c r="B268" i="1"/>
  <c r="T267" i="1" l="1"/>
  <c r="S267" i="1"/>
  <c r="E58" i="1"/>
  <c r="G58" i="1"/>
  <c r="H58" i="1" s="1"/>
  <c r="L144" i="1"/>
  <c r="C145" i="1"/>
  <c r="B269" i="1"/>
  <c r="R268" i="1"/>
  <c r="T268" i="1" l="1"/>
  <c r="S268" i="1"/>
  <c r="I58" i="1"/>
  <c r="P58" i="1" s="1"/>
  <c r="Q58" i="1" s="1"/>
  <c r="B270" i="1"/>
  <c r="R269" i="1"/>
  <c r="J58" i="1"/>
  <c r="C146" i="1"/>
  <c r="L145" i="1"/>
  <c r="O58" i="1" l="1"/>
  <c r="D59" i="1" s="1"/>
  <c r="E59" i="1"/>
  <c r="G59" i="1"/>
  <c r="H59" i="1" s="1"/>
  <c r="K58" i="1"/>
  <c r="M58" i="1" s="1"/>
  <c r="N70" i="1" s="1"/>
  <c r="T269" i="1"/>
  <c r="S269" i="1"/>
  <c r="R270" i="1"/>
  <c r="B271" i="1"/>
  <c r="L146" i="1"/>
  <c r="C147" i="1"/>
  <c r="I59" i="1" l="1"/>
  <c r="P59" i="1" s="1"/>
  <c r="Q59" i="1" s="1"/>
  <c r="B272" i="1"/>
  <c r="R271" i="1"/>
  <c r="L147" i="1"/>
  <c r="C148" i="1"/>
  <c r="T270" i="1"/>
  <c r="S270" i="1"/>
  <c r="J59" i="1"/>
  <c r="C149" i="1" l="1"/>
  <c r="L148" i="1"/>
  <c r="T271" i="1"/>
  <c r="S271" i="1"/>
  <c r="K59" i="1"/>
  <c r="M59" i="1" s="1"/>
  <c r="N71" i="1" s="1"/>
  <c r="O59" i="1"/>
  <c r="D60" i="1" s="1"/>
  <c r="B273" i="1"/>
  <c r="R272" i="1"/>
  <c r="T272" i="1" l="1"/>
  <c r="S272" i="1"/>
  <c r="B274" i="1"/>
  <c r="R273" i="1"/>
  <c r="E60" i="1"/>
  <c r="G60" i="1"/>
  <c r="L149" i="1"/>
  <c r="C150" i="1"/>
  <c r="T273" i="1" l="1"/>
  <c r="S273" i="1"/>
  <c r="R274" i="1"/>
  <c r="B275" i="1"/>
  <c r="L150" i="1"/>
  <c r="C151" i="1"/>
  <c r="H60" i="1"/>
  <c r="R275" i="1" l="1"/>
  <c r="B276" i="1"/>
  <c r="T274" i="1"/>
  <c r="S274" i="1"/>
  <c r="I60" i="1"/>
  <c r="J60" i="1"/>
  <c r="C152" i="1"/>
  <c r="L151" i="1"/>
  <c r="O60" i="1" l="1"/>
  <c r="D61" i="1" s="1"/>
  <c r="E61" i="1" s="1"/>
  <c r="G61" i="1"/>
  <c r="K60" i="1"/>
  <c r="M60" i="1" s="1"/>
  <c r="N72" i="1" s="1"/>
  <c r="P60" i="1"/>
  <c r="Q60" i="1" s="1"/>
  <c r="B277" i="1"/>
  <c r="R276" i="1"/>
  <c r="C153" i="1"/>
  <c r="L152" i="1"/>
  <c r="T275" i="1"/>
  <c r="S275" i="1"/>
  <c r="H61" i="1" l="1"/>
  <c r="I61" i="1" s="1"/>
  <c r="C154" i="1"/>
  <c r="L153" i="1"/>
  <c r="T276" i="1"/>
  <c r="S276" i="1"/>
  <c r="B278" i="1"/>
  <c r="R277" i="1"/>
  <c r="P61" i="1" l="1"/>
  <c r="Q61" i="1" s="1"/>
  <c r="J61" i="1"/>
  <c r="O61" i="1" s="1"/>
  <c r="D62" i="1" s="1"/>
  <c r="G62" i="1" s="1"/>
  <c r="T277" i="1"/>
  <c r="S277" i="1"/>
  <c r="L154" i="1"/>
  <c r="C155" i="1"/>
  <c r="B279" i="1"/>
  <c r="R278" i="1"/>
  <c r="E62" i="1" l="1"/>
  <c r="H62" i="1" s="1"/>
  <c r="K61" i="1"/>
  <c r="M61" i="1" s="1"/>
  <c r="N73" i="1" s="1"/>
  <c r="B280" i="1"/>
  <c r="R279" i="1"/>
  <c r="T278" i="1"/>
  <c r="S278" i="1"/>
  <c r="L155" i="1"/>
  <c r="C156" i="1"/>
  <c r="I62" i="1" l="1"/>
  <c r="J62" i="1" s="1"/>
  <c r="C157" i="1"/>
  <c r="L156" i="1"/>
  <c r="T279" i="1"/>
  <c r="S279" i="1"/>
  <c r="R280" i="1"/>
  <c r="B281" i="1"/>
  <c r="O62" i="1" l="1"/>
  <c r="D63" i="1" s="1"/>
  <c r="K62" i="1"/>
  <c r="M62" i="1" s="1"/>
  <c r="N74" i="1" s="1"/>
  <c r="P62" i="1"/>
  <c r="Q62" i="1" s="1"/>
  <c r="B282" i="1"/>
  <c r="R281" i="1"/>
  <c r="L157" i="1"/>
  <c r="C158" i="1"/>
  <c r="T280" i="1"/>
  <c r="S280" i="1"/>
  <c r="E63" i="1" l="1"/>
  <c r="G63" i="1"/>
  <c r="H63" i="1" s="1"/>
  <c r="C159" i="1"/>
  <c r="L158" i="1"/>
  <c r="T281" i="1"/>
  <c r="S281" i="1"/>
  <c r="R282" i="1"/>
  <c r="B283" i="1"/>
  <c r="I63" i="1" l="1"/>
  <c r="T282" i="1"/>
  <c r="S282" i="1"/>
  <c r="C160" i="1"/>
  <c r="L159" i="1"/>
  <c r="B284" i="1"/>
  <c r="R283" i="1"/>
  <c r="J63" i="1" l="1"/>
  <c r="K63" i="1" s="1"/>
  <c r="M63" i="1" s="1"/>
  <c r="N75" i="1" s="1"/>
  <c r="P63" i="1"/>
  <c r="Q63" i="1" s="1"/>
  <c r="T283" i="1"/>
  <c r="S283" i="1"/>
  <c r="L160" i="1"/>
  <c r="C161" i="1"/>
  <c r="B285" i="1"/>
  <c r="R284" i="1"/>
  <c r="O63" i="1" l="1"/>
  <c r="D64" i="1" s="1"/>
  <c r="T284" i="1"/>
  <c r="S284" i="1"/>
  <c r="C162" i="1"/>
  <c r="L161" i="1"/>
  <c r="B286" i="1"/>
  <c r="R285" i="1"/>
  <c r="E64" i="1" l="1"/>
  <c r="G64" i="1"/>
  <c r="H64" i="1" s="1"/>
  <c r="L162" i="1"/>
  <c r="C163" i="1"/>
  <c r="T285" i="1"/>
  <c r="S285" i="1"/>
  <c r="B287" i="1"/>
  <c r="R286" i="1"/>
  <c r="I64" i="1" l="1"/>
  <c r="P64" i="1" s="1"/>
  <c r="Q64" i="1" s="1"/>
  <c r="T286" i="1"/>
  <c r="S286" i="1"/>
  <c r="B288" i="1"/>
  <c r="R287" i="1"/>
  <c r="C164" i="1"/>
  <c r="L163" i="1"/>
  <c r="J64" i="1" l="1"/>
  <c r="K64" i="1" s="1"/>
  <c r="M64" i="1" s="1"/>
  <c r="N76" i="1" s="1"/>
  <c r="T287" i="1"/>
  <c r="S287" i="1"/>
  <c r="R288" i="1"/>
  <c r="B289" i="1"/>
  <c r="C165" i="1"/>
  <c r="L164" i="1"/>
  <c r="O64" i="1" l="1"/>
  <c r="D65" i="1" s="1"/>
  <c r="T288" i="1"/>
  <c r="S288" i="1"/>
  <c r="L165" i="1"/>
  <c r="C166" i="1"/>
  <c r="B290" i="1"/>
  <c r="R289" i="1"/>
  <c r="G65" i="1" l="1"/>
  <c r="H65" i="1" s="1"/>
  <c r="I65" i="1" s="1"/>
  <c r="E65" i="1"/>
  <c r="T289" i="1"/>
  <c r="S289" i="1"/>
  <c r="R290" i="1"/>
  <c r="B291" i="1"/>
  <c r="L166" i="1"/>
  <c r="C167" i="1"/>
  <c r="J65" i="1" l="1"/>
  <c r="K65" i="1" s="1"/>
  <c r="M65" i="1" s="1"/>
  <c r="N77" i="1" s="1"/>
  <c r="P65" i="1"/>
  <c r="Q65" i="1" s="1"/>
  <c r="B292" i="1"/>
  <c r="R291" i="1"/>
  <c r="T290" i="1"/>
  <c r="S290" i="1"/>
  <c r="C168" i="1"/>
  <c r="L167" i="1"/>
  <c r="O65" i="1" l="1"/>
  <c r="D66" i="1" s="1"/>
  <c r="T291" i="1"/>
  <c r="S291" i="1"/>
  <c r="B293" i="1"/>
  <c r="R292" i="1"/>
  <c r="L168" i="1"/>
  <c r="C169" i="1"/>
  <c r="G66" i="1" l="1"/>
  <c r="H66" i="1" s="1"/>
  <c r="I66" i="1" s="1"/>
  <c r="E66" i="1"/>
  <c r="C170" i="1"/>
  <c r="L169" i="1"/>
  <c r="T292" i="1"/>
  <c r="S292" i="1"/>
  <c r="R293" i="1"/>
  <c r="B294" i="1"/>
  <c r="P66" i="1" l="1"/>
  <c r="Q66" i="1" s="1"/>
  <c r="J66" i="1"/>
  <c r="K66" i="1" s="1"/>
  <c r="M66" i="1" s="1"/>
  <c r="N78" i="1" s="1"/>
  <c r="B295" i="1"/>
  <c r="R294" i="1"/>
  <c r="C171" i="1"/>
  <c r="L170" i="1"/>
  <c r="T293" i="1"/>
  <c r="S293" i="1"/>
  <c r="O66" i="1" l="1"/>
  <c r="D67" i="1" s="1"/>
  <c r="T294" i="1"/>
  <c r="S294" i="1"/>
  <c r="B296" i="1"/>
  <c r="R295" i="1"/>
  <c r="L171" i="1"/>
  <c r="C172" i="1"/>
  <c r="G67" i="1" l="1"/>
  <c r="H67" i="1" s="1"/>
  <c r="E67" i="1"/>
  <c r="I67" i="1"/>
  <c r="P67" i="1" s="1"/>
  <c r="Q67" i="1" s="1"/>
  <c r="L172" i="1"/>
  <c r="C173" i="1"/>
  <c r="R296" i="1"/>
  <c r="B297" i="1"/>
  <c r="T295" i="1"/>
  <c r="S295" i="1"/>
  <c r="J67" i="1" l="1"/>
  <c r="K67" i="1" s="1"/>
  <c r="M67" i="1" s="1"/>
  <c r="N79" i="1" s="1"/>
  <c r="T296" i="1"/>
  <c r="S296" i="1"/>
  <c r="B298" i="1"/>
  <c r="R297" i="1"/>
  <c r="L173" i="1"/>
  <c r="C174" i="1"/>
  <c r="O67" i="1" l="1"/>
  <c r="D68" i="1" s="1"/>
  <c r="T297" i="1"/>
  <c r="S297" i="1"/>
  <c r="B299" i="1"/>
  <c r="R298" i="1"/>
  <c r="C175" i="1"/>
  <c r="L174" i="1"/>
  <c r="G68" i="1" l="1"/>
  <c r="E68" i="1"/>
  <c r="T298" i="1"/>
  <c r="S298" i="1"/>
  <c r="R299" i="1"/>
  <c r="B300" i="1"/>
  <c r="L175" i="1"/>
  <c r="C176" i="1"/>
  <c r="H68" i="1" l="1"/>
  <c r="T299" i="1"/>
  <c r="S299" i="1"/>
  <c r="C177" i="1"/>
  <c r="L176" i="1"/>
  <c r="B301" i="1"/>
  <c r="R300" i="1"/>
  <c r="I68" i="1" l="1"/>
  <c r="J68" i="1" s="1"/>
  <c r="K68" i="1" s="1"/>
  <c r="M68" i="1" s="1"/>
  <c r="N80" i="1" s="1"/>
  <c r="C178" i="1"/>
  <c r="L177" i="1"/>
  <c r="B302" i="1"/>
  <c r="R301" i="1"/>
  <c r="T300" i="1"/>
  <c r="S300" i="1"/>
  <c r="O68" i="1" l="1"/>
  <c r="D69" i="1" s="1"/>
  <c r="P68" i="1"/>
  <c r="Q68" i="1" s="1"/>
  <c r="T301" i="1"/>
  <c r="S301" i="1"/>
  <c r="B303" i="1"/>
  <c r="R302" i="1"/>
  <c r="C179" i="1"/>
  <c r="L178" i="1"/>
  <c r="G69" i="1" l="1"/>
  <c r="E69" i="1"/>
  <c r="L179" i="1"/>
  <c r="C180" i="1"/>
  <c r="T302" i="1"/>
  <c r="S302" i="1"/>
  <c r="B304" i="1"/>
  <c r="R303" i="1"/>
  <c r="H69" i="1" l="1"/>
  <c r="R304" i="1"/>
  <c r="B305" i="1"/>
  <c r="L180" i="1"/>
  <c r="C181" i="1"/>
  <c r="T303" i="1"/>
  <c r="S303" i="1"/>
  <c r="I69" i="1" l="1"/>
  <c r="P69" i="1" s="1"/>
  <c r="Q69" i="1" s="1"/>
  <c r="J69" i="1"/>
  <c r="K69" i="1" s="1"/>
  <c r="M69" i="1" s="1"/>
  <c r="N81" i="1" s="1"/>
  <c r="C182" i="1"/>
  <c r="L181" i="1"/>
  <c r="B306" i="1"/>
  <c r="R305" i="1"/>
  <c r="T304" i="1"/>
  <c r="S304" i="1"/>
  <c r="O69" i="1" l="1"/>
  <c r="D70" i="1" s="1"/>
  <c r="T305" i="1"/>
  <c r="S305" i="1"/>
  <c r="C183" i="1"/>
  <c r="L182" i="1"/>
  <c r="B307" i="1"/>
  <c r="R306" i="1"/>
  <c r="G70" i="1" l="1"/>
  <c r="E70" i="1"/>
  <c r="L183" i="1"/>
  <c r="C184" i="1"/>
  <c r="T306" i="1"/>
  <c r="S306" i="1"/>
  <c r="R307" i="1"/>
  <c r="B308" i="1"/>
  <c r="H70" i="1" l="1"/>
  <c r="B309" i="1"/>
  <c r="R308" i="1"/>
  <c r="T307" i="1"/>
  <c r="S307" i="1"/>
  <c r="C185" i="1"/>
  <c r="L184" i="1"/>
  <c r="J70" i="1" l="1"/>
  <c r="K70" i="1" s="1"/>
  <c r="M70" i="1" s="1"/>
  <c r="N82" i="1" s="1"/>
  <c r="I70" i="1"/>
  <c r="P70" i="1" s="1"/>
  <c r="Q70" i="1" s="1"/>
  <c r="C186" i="1"/>
  <c r="L185" i="1"/>
  <c r="T308" i="1"/>
  <c r="S308" i="1"/>
  <c r="B310" i="1"/>
  <c r="R309" i="1"/>
  <c r="O70" i="1" l="1"/>
  <c r="D71" i="1" s="1"/>
  <c r="B311" i="1"/>
  <c r="R310" i="1"/>
  <c r="T309" i="1"/>
  <c r="S309" i="1"/>
  <c r="C187" i="1"/>
  <c r="L186" i="1"/>
  <c r="E71" i="1" l="1"/>
  <c r="G71" i="1"/>
  <c r="H71" i="1" s="1"/>
  <c r="T310" i="1"/>
  <c r="S310" i="1"/>
  <c r="C188" i="1"/>
  <c r="L187" i="1"/>
  <c r="B312" i="1"/>
  <c r="R311" i="1"/>
  <c r="I71" i="1" l="1"/>
  <c r="J71" i="1" s="1"/>
  <c r="K71" i="1" s="1"/>
  <c r="M71" i="1" s="1"/>
  <c r="N83" i="1" s="1"/>
  <c r="R312" i="1"/>
  <c r="B313" i="1"/>
  <c r="T311" i="1"/>
  <c r="S311" i="1"/>
  <c r="L188" i="1"/>
  <c r="C189" i="1"/>
  <c r="O71" i="1" l="1"/>
  <c r="D72" i="1" s="1"/>
  <c r="P71" i="1"/>
  <c r="Q71" i="1" s="1"/>
  <c r="B314" i="1"/>
  <c r="R313" i="1"/>
  <c r="L189" i="1"/>
  <c r="C190" i="1"/>
  <c r="T312" i="1"/>
  <c r="S312" i="1"/>
  <c r="E72" i="1" l="1"/>
  <c r="G72" i="1"/>
  <c r="H72" i="1" s="1"/>
  <c r="I72" i="1" s="1"/>
  <c r="J72" i="1" s="1"/>
  <c r="K72" i="1" s="1"/>
  <c r="M72" i="1" s="1"/>
  <c r="N84" i="1" s="1"/>
  <c r="T313" i="1"/>
  <c r="S313" i="1"/>
  <c r="B315" i="1"/>
  <c r="R314" i="1"/>
  <c r="C191" i="1"/>
  <c r="L190" i="1"/>
  <c r="P72" i="1" l="1"/>
  <c r="Q72" i="1" s="1"/>
  <c r="O72" i="1"/>
  <c r="D73" i="1" s="1"/>
  <c r="T314" i="1"/>
  <c r="S314" i="1"/>
  <c r="L191" i="1"/>
  <c r="C192" i="1"/>
  <c r="R315" i="1"/>
  <c r="B316" i="1"/>
  <c r="G73" i="1" l="1"/>
  <c r="H73" i="1" s="1"/>
  <c r="E73" i="1"/>
  <c r="T315" i="1"/>
  <c r="S315" i="1"/>
  <c r="L192" i="1"/>
  <c r="C193" i="1"/>
  <c r="I73" i="1"/>
  <c r="J73" i="1" s="1"/>
  <c r="B317" i="1"/>
  <c r="R316" i="1"/>
  <c r="P73" i="1" l="1"/>
  <c r="Q73" i="1" s="1"/>
  <c r="C194" i="1"/>
  <c r="L193" i="1"/>
  <c r="T316" i="1"/>
  <c r="S316" i="1"/>
  <c r="B318" i="1"/>
  <c r="R317" i="1"/>
  <c r="K73" i="1"/>
  <c r="M73" i="1" s="1"/>
  <c r="N85" i="1" s="1"/>
  <c r="O73" i="1"/>
  <c r="D74" i="1" s="1"/>
  <c r="B319" i="1" l="1"/>
  <c r="R318" i="1"/>
  <c r="E74" i="1"/>
  <c r="G74" i="1"/>
  <c r="H74" i="1" s="1"/>
  <c r="T317" i="1"/>
  <c r="S317" i="1"/>
  <c r="C195" i="1"/>
  <c r="L194" i="1"/>
  <c r="I74" i="1" l="1"/>
  <c r="P74" i="1" s="1"/>
  <c r="Q74" i="1" s="1"/>
  <c r="J74" i="1"/>
  <c r="C196" i="1"/>
  <c r="L195" i="1"/>
  <c r="T318" i="1"/>
  <c r="S318" i="1"/>
  <c r="B320" i="1"/>
  <c r="R319" i="1"/>
  <c r="L196" i="1" l="1"/>
  <c r="C197" i="1"/>
  <c r="T319" i="1"/>
  <c r="S319" i="1"/>
  <c r="R320" i="1"/>
  <c r="B321" i="1"/>
  <c r="O74" i="1"/>
  <c r="D75" i="1" s="1"/>
  <c r="K74" i="1"/>
  <c r="M74" i="1" s="1"/>
  <c r="N86" i="1" s="1"/>
  <c r="T320" i="1" l="1"/>
  <c r="S320" i="1"/>
  <c r="C198" i="1"/>
  <c r="L197" i="1"/>
  <c r="E75" i="1"/>
  <c r="G75" i="1"/>
  <c r="H75" i="1" s="1"/>
  <c r="B322" i="1"/>
  <c r="R321" i="1"/>
  <c r="T321" i="1" l="1"/>
  <c r="S321" i="1"/>
  <c r="R322" i="1"/>
  <c r="B323" i="1"/>
  <c r="C199" i="1"/>
  <c r="L198" i="1"/>
  <c r="I75" i="1"/>
  <c r="J75" i="1"/>
  <c r="O75" i="1" l="1"/>
  <c r="D76" i="1" s="1"/>
  <c r="E76" i="1" s="1"/>
  <c r="K75" i="1"/>
  <c r="M75" i="1" s="1"/>
  <c r="N87" i="1" s="1"/>
  <c r="R323" i="1"/>
  <c r="B324" i="1"/>
  <c r="L199" i="1"/>
  <c r="C200" i="1"/>
  <c r="T322" i="1"/>
  <c r="S322" i="1"/>
  <c r="P75" i="1"/>
  <c r="Q75" i="1" s="1"/>
  <c r="G76" i="1" l="1"/>
  <c r="H76" i="1" s="1"/>
  <c r="I76" i="1" s="1"/>
  <c r="P76" i="1" s="1"/>
  <c r="Q76" i="1" s="1"/>
  <c r="T323" i="1"/>
  <c r="S323" i="1"/>
  <c r="C201" i="1"/>
  <c r="L200" i="1"/>
  <c r="B325" i="1"/>
  <c r="R324" i="1"/>
  <c r="J76" i="1" l="1"/>
  <c r="O76" i="1" s="1"/>
  <c r="D77" i="1" s="1"/>
  <c r="E77" i="1" s="1"/>
  <c r="C202" i="1"/>
  <c r="L201" i="1"/>
  <c r="T324" i="1"/>
  <c r="S324" i="1"/>
  <c r="K76" i="1"/>
  <c r="M76" i="1" s="1"/>
  <c r="N88" i="1" s="1"/>
  <c r="R325" i="1"/>
  <c r="B326" i="1"/>
  <c r="G77" i="1" l="1"/>
  <c r="H77" i="1" s="1"/>
  <c r="I77" i="1" s="1"/>
  <c r="J77" i="1" s="1"/>
  <c r="C203" i="1"/>
  <c r="L202" i="1"/>
  <c r="B327" i="1"/>
  <c r="R326" i="1"/>
  <c r="T325" i="1"/>
  <c r="S325" i="1"/>
  <c r="P77" i="1" l="1"/>
  <c r="Q77" i="1" s="1"/>
  <c r="K77" i="1"/>
  <c r="M77" i="1" s="1"/>
  <c r="N89" i="1" s="1"/>
  <c r="O77" i="1"/>
  <c r="D78" i="1" s="1"/>
  <c r="T326" i="1"/>
  <c r="S326" i="1"/>
  <c r="B328" i="1"/>
  <c r="R327" i="1"/>
  <c r="L203" i="1"/>
  <c r="C204" i="1"/>
  <c r="T327" i="1" l="1"/>
  <c r="S327" i="1"/>
  <c r="R328" i="1"/>
  <c r="B329" i="1"/>
  <c r="E78" i="1"/>
  <c r="G78" i="1"/>
  <c r="C205" i="1"/>
  <c r="L204" i="1"/>
  <c r="B330" i="1" l="1"/>
  <c r="R329" i="1"/>
  <c r="L205" i="1"/>
  <c r="C206" i="1"/>
  <c r="T328" i="1"/>
  <c r="S328" i="1"/>
  <c r="H78" i="1"/>
  <c r="L206" i="1" l="1"/>
  <c r="C207" i="1"/>
  <c r="J78" i="1"/>
  <c r="I78" i="1"/>
  <c r="T329" i="1"/>
  <c r="S329" i="1"/>
  <c r="R330" i="1"/>
  <c r="B331" i="1"/>
  <c r="O78" i="1" l="1"/>
  <c r="D79" i="1" s="1"/>
  <c r="E79" i="1"/>
  <c r="G79" i="1"/>
  <c r="H79" i="1" s="1"/>
  <c r="K78" i="1"/>
  <c r="M78" i="1" s="1"/>
  <c r="N90" i="1" s="1"/>
  <c r="P78" i="1"/>
  <c r="Q78" i="1" s="1"/>
  <c r="B332" i="1"/>
  <c r="R331" i="1"/>
  <c r="C208" i="1"/>
  <c r="L207" i="1"/>
  <c r="T330" i="1"/>
  <c r="S330" i="1"/>
  <c r="I79" i="1" l="1"/>
  <c r="P79" i="1" s="1"/>
  <c r="Q79" i="1" s="1"/>
  <c r="C209" i="1"/>
  <c r="L208" i="1"/>
  <c r="T331" i="1"/>
  <c r="S331" i="1"/>
  <c r="J79" i="1"/>
  <c r="O79" i="1" s="1"/>
  <c r="D80" i="1" s="1"/>
  <c r="B333" i="1"/>
  <c r="R332" i="1"/>
  <c r="T332" i="1" l="1"/>
  <c r="S332" i="1"/>
  <c r="R333" i="1"/>
  <c r="B334" i="1"/>
  <c r="L209" i="1"/>
  <c r="C210" i="1"/>
  <c r="E80" i="1"/>
  <c r="G80" i="1"/>
  <c r="H80" i="1" s="1"/>
  <c r="I80" i="1" s="1"/>
  <c r="K79" i="1"/>
  <c r="M79" i="1" s="1"/>
  <c r="N91" i="1" s="1"/>
  <c r="P80" i="1" l="1"/>
  <c r="Q80" i="1" s="1"/>
  <c r="B335" i="1"/>
  <c r="R334" i="1"/>
  <c r="T333" i="1"/>
  <c r="S333" i="1"/>
  <c r="J80" i="1"/>
  <c r="O80" i="1" s="1"/>
  <c r="D81" i="1" s="1"/>
  <c r="L210" i="1"/>
  <c r="C211" i="1"/>
  <c r="E81" i="1" l="1"/>
  <c r="G81" i="1"/>
  <c r="H81" i="1" s="1"/>
  <c r="K80" i="1"/>
  <c r="M80" i="1" s="1"/>
  <c r="N92" i="1" s="1"/>
  <c r="C212" i="1"/>
  <c r="L211" i="1"/>
  <c r="T334" i="1"/>
  <c r="S334" i="1"/>
  <c r="B336" i="1"/>
  <c r="R335" i="1"/>
  <c r="I81" i="1" l="1"/>
  <c r="P81" i="1" s="1"/>
  <c r="Q81" i="1" s="1"/>
  <c r="R336" i="1"/>
  <c r="B337" i="1"/>
  <c r="J81" i="1"/>
  <c r="T335" i="1"/>
  <c r="S335" i="1"/>
  <c r="L212" i="1"/>
  <c r="C213" i="1"/>
  <c r="K81" i="1" l="1"/>
  <c r="M81" i="1" s="1"/>
  <c r="N93" i="1" s="1"/>
  <c r="B338" i="1"/>
  <c r="R337" i="1"/>
  <c r="L213" i="1"/>
  <c r="C214" i="1"/>
  <c r="T336" i="1"/>
  <c r="S336" i="1"/>
  <c r="O81" i="1"/>
  <c r="D82" i="1" s="1"/>
  <c r="T337" i="1" l="1"/>
  <c r="S337" i="1"/>
  <c r="C215" i="1"/>
  <c r="L214" i="1"/>
  <c r="R338" i="1"/>
  <c r="B339" i="1"/>
  <c r="E82" i="1"/>
  <c r="G82" i="1"/>
  <c r="H82" i="1" s="1"/>
  <c r="I82" i="1" s="1"/>
  <c r="T338" i="1" l="1"/>
  <c r="S338" i="1"/>
  <c r="C216" i="1"/>
  <c r="L215" i="1"/>
  <c r="P82" i="1"/>
  <c r="Q82" i="1" s="1"/>
  <c r="J82" i="1"/>
  <c r="O82" i="1" s="1"/>
  <c r="D83" i="1" s="1"/>
  <c r="B340" i="1"/>
  <c r="R339" i="1"/>
  <c r="E83" i="1" l="1"/>
  <c r="G83" i="1"/>
  <c r="H83" i="1" s="1"/>
  <c r="T339" i="1"/>
  <c r="S339" i="1"/>
  <c r="C217" i="1"/>
  <c r="L216" i="1"/>
  <c r="B341" i="1"/>
  <c r="R340" i="1"/>
  <c r="K82" i="1"/>
  <c r="M82" i="1" s="1"/>
  <c r="N94" i="1" s="1"/>
  <c r="T340" i="1" l="1"/>
  <c r="S340" i="1"/>
  <c r="I83" i="1"/>
  <c r="P83" i="1" s="1"/>
  <c r="Q83" i="1" s="1"/>
  <c r="J83" i="1"/>
  <c r="R341" i="1"/>
  <c r="B342" i="1"/>
  <c r="C218" i="1"/>
  <c r="L217" i="1"/>
  <c r="B343" i="1" l="1"/>
  <c r="R342" i="1"/>
  <c r="T341" i="1"/>
  <c r="S341" i="1"/>
  <c r="K83" i="1"/>
  <c r="M83" i="1" s="1"/>
  <c r="N95" i="1" s="1"/>
  <c r="O83" i="1"/>
  <c r="D84" i="1" s="1"/>
  <c r="L218" i="1"/>
  <c r="C219" i="1"/>
  <c r="E84" i="1" l="1"/>
  <c r="G84" i="1"/>
  <c r="C220" i="1"/>
  <c r="L219" i="1"/>
  <c r="T342" i="1"/>
  <c r="S342" i="1"/>
  <c r="B344" i="1"/>
  <c r="R343" i="1"/>
  <c r="H84" i="1" l="1"/>
  <c r="O84" i="1" s="1"/>
  <c r="D85" i="1" s="1"/>
  <c r="L220" i="1"/>
  <c r="C221" i="1"/>
  <c r="T343" i="1"/>
  <c r="S343" i="1"/>
  <c r="I84" i="1"/>
  <c r="J84" i="1"/>
  <c r="R344" i="1"/>
  <c r="B345" i="1"/>
  <c r="P84" i="1" l="1"/>
  <c r="Q84" i="1" s="1"/>
  <c r="E85" i="1"/>
  <c r="G85" i="1"/>
  <c r="H85" i="1" s="1"/>
  <c r="L221" i="1"/>
  <c r="C222" i="1"/>
  <c r="B346" i="1"/>
  <c r="R345" i="1"/>
  <c r="K84" i="1"/>
  <c r="M84" i="1" s="1"/>
  <c r="N96" i="1" s="1"/>
  <c r="T344" i="1"/>
  <c r="S344" i="1"/>
  <c r="C223" i="1" l="1"/>
  <c r="L222" i="1"/>
  <c r="I85" i="1"/>
  <c r="T345" i="1"/>
  <c r="S345" i="1"/>
  <c r="R346" i="1"/>
  <c r="B347" i="1"/>
  <c r="J85" i="1"/>
  <c r="O85" i="1" l="1"/>
  <c r="D86" i="1" s="1"/>
  <c r="E86" i="1"/>
  <c r="G86" i="1"/>
  <c r="H86" i="1" s="1"/>
  <c r="P85" i="1"/>
  <c r="Q85" i="1" s="1"/>
  <c r="K85" i="1"/>
  <c r="M85" i="1" s="1"/>
  <c r="N97" i="1" s="1"/>
  <c r="B348" i="1"/>
  <c r="R347" i="1"/>
  <c r="T346" i="1"/>
  <c r="S346" i="1"/>
  <c r="C224" i="1"/>
  <c r="L223" i="1"/>
  <c r="C225" i="1" l="1"/>
  <c r="L224" i="1"/>
  <c r="I86" i="1"/>
  <c r="T347" i="1"/>
  <c r="S347" i="1"/>
  <c r="B349" i="1"/>
  <c r="R348" i="1"/>
  <c r="T348" i="1" l="1"/>
  <c r="S348" i="1"/>
  <c r="R349" i="1"/>
  <c r="B350" i="1"/>
  <c r="L225" i="1"/>
  <c r="C226" i="1"/>
  <c r="P86" i="1"/>
  <c r="Q86" i="1" s="1"/>
  <c r="J86" i="1"/>
  <c r="C227" i="1" l="1"/>
  <c r="L226" i="1"/>
  <c r="B351" i="1"/>
  <c r="R350" i="1"/>
  <c r="K86" i="1"/>
  <c r="M86" i="1" s="1"/>
  <c r="N98" i="1" s="1"/>
  <c r="T349" i="1"/>
  <c r="S349" i="1"/>
  <c r="O86" i="1"/>
  <c r="D87" i="1" s="1"/>
  <c r="T350" i="1" l="1"/>
  <c r="S350" i="1"/>
  <c r="R351" i="1"/>
  <c r="B352" i="1"/>
  <c r="E87" i="1"/>
  <c r="G87" i="1"/>
  <c r="L227" i="1"/>
  <c r="C228" i="1"/>
  <c r="B353" i="1" l="1"/>
  <c r="R352" i="1"/>
  <c r="T351" i="1"/>
  <c r="S351" i="1"/>
  <c r="L228" i="1"/>
  <c r="C229" i="1"/>
  <c r="H87" i="1"/>
  <c r="T352" i="1" l="1"/>
  <c r="S352" i="1"/>
  <c r="I87" i="1"/>
  <c r="P87" i="1" s="1"/>
  <c r="Q87" i="1" s="1"/>
  <c r="L229" i="1"/>
  <c r="C230" i="1"/>
  <c r="R353" i="1"/>
  <c r="B354" i="1"/>
  <c r="J87" i="1" l="1"/>
  <c r="T353" i="1"/>
  <c r="S353" i="1"/>
  <c r="O87" i="1"/>
  <c r="D88" i="1" s="1"/>
  <c r="B355" i="1"/>
  <c r="R354" i="1"/>
  <c r="K87" i="1"/>
  <c r="M87" i="1" s="1"/>
  <c r="N99" i="1" s="1"/>
  <c r="C231" i="1"/>
  <c r="L230" i="1"/>
  <c r="T354" i="1" l="1"/>
  <c r="S354" i="1"/>
  <c r="B356" i="1"/>
  <c r="R355" i="1"/>
  <c r="E88" i="1"/>
  <c r="G88" i="1"/>
  <c r="C232" i="1"/>
  <c r="L231" i="1"/>
  <c r="T355" i="1" l="1"/>
  <c r="S355" i="1"/>
  <c r="R356" i="1"/>
  <c r="B357" i="1"/>
  <c r="C233" i="1"/>
  <c r="L232" i="1"/>
  <c r="H88" i="1"/>
  <c r="L233" i="1" l="1"/>
  <c r="C234" i="1"/>
  <c r="B358" i="1"/>
  <c r="R357" i="1"/>
  <c r="T356" i="1"/>
  <c r="S356" i="1"/>
  <c r="J88" i="1"/>
  <c r="O88" i="1" s="1"/>
  <c r="D89" i="1" s="1"/>
  <c r="I88" i="1"/>
  <c r="P88" i="1" s="1"/>
  <c r="Q88" i="1" s="1"/>
  <c r="E89" i="1" l="1"/>
  <c r="G89" i="1"/>
  <c r="H89" i="1" s="1"/>
  <c r="B359" i="1"/>
  <c r="R358" i="1"/>
  <c r="T357" i="1"/>
  <c r="S357" i="1"/>
  <c r="K88" i="1"/>
  <c r="M88" i="1" s="1"/>
  <c r="N100" i="1" s="1"/>
  <c r="L234" i="1"/>
  <c r="C235" i="1"/>
  <c r="R359" i="1" l="1"/>
  <c r="B360" i="1"/>
  <c r="C236" i="1"/>
  <c r="L235" i="1"/>
  <c r="I89" i="1"/>
  <c r="T358" i="1"/>
  <c r="S358" i="1"/>
  <c r="J89" i="1"/>
  <c r="O89" i="1" l="1"/>
  <c r="D90" i="1" s="1"/>
  <c r="E90" i="1"/>
  <c r="G90" i="1"/>
  <c r="H90" i="1" s="1"/>
  <c r="I90" i="1" s="1"/>
  <c r="P89" i="1"/>
  <c r="Q89" i="1" s="1"/>
  <c r="B361" i="1"/>
  <c r="R360" i="1"/>
  <c r="K89" i="1"/>
  <c r="M89" i="1" s="1"/>
  <c r="N101" i="1" s="1"/>
  <c r="L236" i="1"/>
  <c r="C237" i="1"/>
  <c r="T359" i="1"/>
  <c r="S359" i="1"/>
  <c r="T360" i="1" l="1"/>
  <c r="S360" i="1"/>
  <c r="R361" i="1"/>
  <c r="B362" i="1"/>
  <c r="L237" i="1"/>
  <c r="C238" i="1"/>
  <c r="P90" i="1"/>
  <c r="Q90" i="1" s="1"/>
  <c r="J90" i="1"/>
  <c r="B363" i="1" l="1"/>
  <c r="R362" i="1"/>
  <c r="T361" i="1"/>
  <c r="S361" i="1"/>
  <c r="K90" i="1"/>
  <c r="M90" i="1" s="1"/>
  <c r="N102" i="1" s="1"/>
  <c r="O90" i="1"/>
  <c r="D91" i="1" s="1"/>
  <c r="C239" i="1"/>
  <c r="L238" i="1"/>
  <c r="C240" i="1" l="1"/>
  <c r="L239" i="1"/>
  <c r="E91" i="1"/>
  <c r="H91" i="1"/>
  <c r="G91" i="1"/>
  <c r="T362" i="1"/>
  <c r="S362" i="1"/>
  <c r="B364" i="1"/>
  <c r="R363" i="1"/>
  <c r="R364" i="1" l="1"/>
  <c r="B365" i="1"/>
  <c r="T363" i="1"/>
  <c r="S363" i="1"/>
  <c r="I91" i="1"/>
  <c r="C241" i="1"/>
  <c r="L240" i="1"/>
  <c r="J91" i="1" l="1"/>
  <c r="P91" i="1"/>
  <c r="Q91" i="1" s="1"/>
  <c r="B366" i="1"/>
  <c r="R365" i="1"/>
  <c r="L241" i="1"/>
  <c r="C242" i="1"/>
  <c r="T364" i="1"/>
  <c r="S364" i="1"/>
  <c r="B367" i="1" l="1"/>
  <c r="R366" i="1"/>
  <c r="K91" i="1"/>
  <c r="M91" i="1" s="1"/>
  <c r="N103" i="1" s="1"/>
  <c r="T365" i="1"/>
  <c r="S365" i="1"/>
  <c r="C243" i="1"/>
  <c r="L242" i="1"/>
  <c r="O91" i="1"/>
  <c r="D92" i="1" s="1"/>
  <c r="E92" i="1" l="1"/>
  <c r="G92" i="1"/>
  <c r="T366" i="1"/>
  <c r="S366" i="1"/>
  <c r="C244" i="1"/>
  <c r="L243" i="1"/>
  <c r="R367" i="1"/>
  <c r="B368" i="1"/>
  <c r="H92" i="1" l="1"/>
  <c r="I92" i="1" s="1"/>
  <c r="J92" i="1" s="1"/>
  <c r="B369" i="1"/>
  <c r="R368" i="1"/>
  <c r="T367" i="1"/>
  <c r="S367" i="1"/>
  <c r="L244" i="1"/>
  <c r="C245" i="1"/>
  <c r="K92" i="1" l="1"/>
  <c r="M92" i="1" s="1"/>
  <c r="N104" i="1" s="1"/>
  <c r="P92" i="1"/>
  <c r="Q92" i="1" s="1"/>
  <c r="L245" i="1"/>
  <c r="C246" i="1"/>
  <c r="T368" i="1"/>
  <c r="S368" i="1"/>
  <c r="R369" i="1"/>
  <c r="B370" i="1"/>
  <c r="O92" i="1"/>
  <c r="D93" i="1" s="1"/>
  <c r="C247" i="1" l="1"/>
  <c r="L246" i="1"/>
  <c r="B371" i="1"/>
  <c r="R370" i="1"/>
  <c r="E93" i="1"/>
  <c r="G93" i="1"/>
  <c r="H93" i="1" s="1"/>
  <c r="T369" i="1"/>
  <c r="S369" i="1"/>
  <c r="B372" i="1" l="1"/>
  <c r="R371" i="1"/>
  <c r="I93" i="1"/>
  <c r="P93" i="1" s="1"/>
  <c r="Q93" i="1" s="1"/>
  <c r="T370" i="1"/>
  <c r="S370" i="1"/>
  <c r="J93" i="1"/>
  <c r="C248" i="1"/>
  <c r="L247" i="1"/>
  <c r="K93" i="1" l="1"/>
  <c r="M93" i="1" s="1"/>
  <c r="N105" i="1" s="1"/>
  <c r="O93" i="1"/>
  <c r="D94" i="1" s="1"/>
  <c r="T371" i="1"/>
  <c r="S371" i="1"/>
  <c r="C249" i="1"/>
  <c r="L248" i="1"/>
  <c r="R372" i="1"/>
  <c r="B373" i="1"/>
  <c r="T372" i="1" l="1"/>
  <c r="S372" i="1"/>
  <c r="E94" i="1"/>
  <c r="G94" i="1"/>
  <c r="H94" i="1" s="1"/>
  <c r="L249" i="1"/>
  <c r="C250" i="1"/>
  <c r="B374" i="1"/>
  <c r="R373" i="1"/>
  <c r="T373" i="1" l="1"/>
  <c r="S373" i="1"/>
  <c r="I94" i="1"/>
  <c r="P94" i="1" s="1"/>
  <c r="Q94" i="1" s="1"/>
  <c r="B375" i="1"/>
  <c r="R374" i="1"/>
  <c r="L250" i="1"/>
  <c r="C251" i="1"/>
  <c r="J94" i="1"/>
  <c r="R375" i="1" l="1"/>
  <c r="B376" i="1"/>
  <c r="T374" i="1"/>
  <c r="S374" i="1"/>
  <c r="K94" i="1"/>
  <c r="M94" i="1" s="1"/>
  <c r="N106" i="1" s="1"/>
  <c r="O94" i="1"/>
  <c r="D95" i="1" s="1"/>
  <c r="C252" i="1"/>
  <c r="L251" i="1"/>
  <c r="E95" i="1" l="1"/>
  <c r="G95" i="1"/>
  <c r="H95" i="1" s="1"/>
  <c r="I95" i="1" s="1"/>
  <c r="B377" i="1"/>
  <c r="R376" i="1"/>
  <c r="L252" i="1"/>
  <c r="C253" i="1"/>
  <c r="T375" i="1"/>
  <c r="S375" i="1"/>
  <c r="R377" i="1" l="1"/>
  <c r="B378" i="1"/>
  <c r="P95" i="1"/>
  <c r="Q95" i="1" s="1"/>
  <c r="L253" i="1"/>
  <c r="C254" i="1"/>
  <c r="T376" i="1"/>
  <c r="S376" i="1"/>
  <c r="J95" i="1"/>
  <c r="O95" i="1" s="1"/>
  <c r="D96" i="1" s="1"/>
  <c r="E96" i="1" l="1"/>
  <c r="G96" i="1"/>
  <c r="H96" i="1" s="1"/>
  <c r="C255" i="1"/>
  <c r="L254" i="1"/>
  <c r="B379" i="1"/>
  <c r="R378" i="1"/>
  <c r="K95" i="1"/>
  <c r="M95" i="1" s="1"/>
  <c r="N107" i="1" s="1"/>
  <c r="T377" i="1"/>
  <c r="S377" i="1"/>
  <c r="C256" i="1" l="1"/>
  <c r="L255" i="1"/>
  <c r="B380" i="1"/>
  <c r="R379" i="1"/>
  <c r="T378" i="1"/>
  <c r="S378" i="1"/>
  <c r="I96" i="1"/>
  <c r="J96" i="1" s="1"/>
  <c r="P96" i="1" l="1"/>
  <c r="Q96" i="1" s="1"/>
  <c r="K96" i="1"/>
  <c r="M96" i="1" s="1"/>
  <c r="N108" i="1" s="1"/>
  <c r="O96" i="1"/>
  <c r="D97" i="1" s="1"/>
  <c r="R380" i="1"/>
  <c r="B381" i="1"/>
  <c r="C257" i="1"/>
  <c r="L256" i="1"/>
  <c r="T379" i="1"/>
  <c r="S379" i="1"/>
  <c r="B382" i="1" l="1"/>
  <c r="R381" i="1"/>
  <c r="T380" i="1"/>
  <c r="S380" i="1"/>
  <c r="E97" i="1"/>
  <c r="G97" i="1"/>
  <c r="C258" i="1"/>
  <c r="L257" i="1"/>
  <c r="T381" i="1" l="1"/>
  <c r="S381" i="1"/>
  <c r="C259" i="1"/>
  <c r="L258" i="1"/>
  <c r="H97" i="1"/>
  <c r="B383" i="1"/>
  <c r="R382" i="1"/>
  <c r="C260" i="1" l="1"/>
  <c r="L259" i="1"/>
  <c r="I97" i="1"/>
  <c r="P97" i="1" s="1"/>
  <c r="Q97" i="1" s="1"/>
  <c r="T382" i="1"/>
  <c r="S382" i="1"/>
  <c r="R383" i="1"/>
  <c r="B384" i="1"/>
  <c r="J97" i="1" l="1"/>
  <c r="K97" i="1" s="1"/>
  <c r="M97" i="1" s="1"/>
  <c r="N109" i="1" s="1"/>
  <c r="B385" i="1"/>
  <c r="R385" i="1" s="1"/>
  <c r="R384" i="1"/>
  <c r="L260" i="1"/>
  <c r="C261" i="1"/>
  <c r="O97" i="1"/>
  <c r="D98" i="1" s="1"/>
  <c r="T383" i="1"/>
  <c r="S383" i="1"/>
  <c r="T384" i="1" l="1"/>
  <c r="S384" i="1"/>
  <c r="T385" i="1"/>
  <c r="S385" i="1"/>
  <c r="E98" i="1"/>
  <c r="G98" i="1"/>
  <c r="L261" i="1"/>
  <c r="C262" i="1"/>
  <c r="C263" i="1" l="1"/>
  <c r="L262" i="1"/>
  <c r="H98" i="1"/>
  <c r="I98" i="1" l="1"/>
  <c r="P98" i="1" s="1"/>
  <c r="Q98" i="1" s="1"/>
  <c r="C264" i="1"/>
  <c r="L263" i="1"/>
  <c r="C265" i="1" l="1"/>
  <c r="L264" i="1"/>
  <c r="J98" i="1"/>
  <c r="O98" i="1" s="1"/>
  <c r="D99" i="1" s="1"/>
  <c r="E99" i="1" l="1"/>
  <c r="G99" i="1"/>
  <c r="H99" i="1" s="1"/>
  <c r="C266" i="1"/>
  <c r="L265" i="1"/>
  <c r="K98" i="1"/>
  <c r="M98" i="1" s="1"/>
  <c r="N110" i="1" s="1"/>
  <c r="L266" i="1" l="1"/>
  <c r="C267" i="1"/>
  <c r="I99" i="1"/>
  <c r="J99" i="1" l="1"/>
  <c r="P99" i="1"/>
  <c r="Q99" i="1" s="1"/>
  <c r="L267" i="1"/>
  <c r="C268" i="1"/>
  <c r="C269" i="1" l="1"/>
  <c r="L268" i="1"/>
  <c r="K99" i="1"/>
  <c r="M99" i="1" s="1"/>
  <c r="N111" i="1" s="1"/>
  <c r="O99" i="1"/>
  <c r="D100" i="1" s="1"/>
  <c r="E100" i="1" l="1"/>
  <c r="G100" i="1"/>
  <c r="H100" i="1" s="1"/>
  <c r="L269" i="1"/>
  <c r="C270" i="1"/>
  <c r="C271" i="1" l="1"/>
  <c r="L270" i="1"/>
  <c r="I100" i="1"/>
  <c r="P100" i="1" s="1"/>
  <c r="Q100" i="1" s="1"/>
  <c r="J100" i="1" l="1"/>
  <c r="O100" i="1" s="1"/>
  <c r="D101" i="1" s="1"/>
  <c r="C272" i="1"/>
  <c r="L271" i="1"/>
  <c r="L272" i="1" l="1"/>
  <c r="C273" i="1"/>
  <c r="E101" i="1"/>
  <c r="G101" i="1"/>
  <c r="K100" i="1"/>
  <c r="M100" i="1" s="1"/>
  <c r="N112" i="1" s="1"/>
  <c r="L273" i="1" l="1"/>
  <c r="C274" i="1"/>
  <c r="H101" i="1"/>
  <c r="I101" i="1" l="1"/>
  <c r="P101" i="1" s="1"/>
  <c r="Q101" i="1" s="1"/>
  <c r="J101" i="1"/>
  <c r="C275" i="1"/>
  <c r="L274" i="1"/>
  <c r="L275" i="1" l="1"/>
  <c r="C276" i="1"/>
  <c r="K101" i="1"/>
  <c r="M101" i="1" s="1"/>
  <c r="N113" i="1" s="1"/>
  <c r="O101" i="1"/>
  <c r="D102" i="1" s="1"/>
  <c r="E102" i="1" l="1"/>
  <c r="G102" i="1"/>
  <c r="H102" i="1" s="1"/>
  <c r="I102" i="1" s="1"/>
  <c r="L276" i="1"/>
  <c r="C277" i="1"/>
  <c r="P102" i="1" l="1"/>
  <c r="Q102" i="1" s="1"/>
  <c r="C278" i="1"/>
  <c r="L277" i="1"/>
  <c r="J102" i="1"/>
  <c r="O102" i="1" s="1"/>
  <c r="D103" i="1" s="1"/>
  <c r="E103" i="1" l="1"/>
  <c r="G103" i="1"/>
  <c r="H103" i="1" s="1"/>
  <c r="C279" i="1"/>
  <c r="L278" i="1"/>
  <c r="K102" i="1"/>
  <c r="M102" i="1" s="1"/>
  <c r="N114" i="1" s="1"/>
  <c r="C280" i="1" l="1"/>
  <c r="L279" i="1"/>
  <c r="I103" i="1"/>
  <c r="J103" i="1"/>
  <c r="O103" i="1" l="1"/>
  <c r="D104" i="1" s="1"/>
  <c r="E104" i="1"/>
  <c r="G104" i="1"/>
  <c r="H104" i="1" s="1"/>
  <c r="P103" i="1"/>
  <c r="Q103" i="1" s="1"/>
  <c r="K103" i="1"/>
  <c r="M103" i="1" s="1"/>
  <c r="N115" i="1" s="1"/>
  <c r="L280" i="1"/>
  <c r="C281" i="1"/>
  <c r="I104" i="1" l="1"/>
  <c r="J104" i="1" s="1"/>
  <c r="O104" i="1" s="1"/>
  <c r="D105" i="1" s="1"/>
  <c r="L281" i="1"/>
  <c r="C282" i="1"/>
  <c r="E105" i="1" l="1"/>
  <c r="G105" i="1"/>
  <c r="H105" i="1" s="1"/>
  <c r="K104" i="1"/>
  <c r="M104" i="1" s="1"/>
  <c r="N116" i="1" s="1"/>
  <c r="L282" i="1"/>
  <c r="C283" i="1"/>
  <c r="P104" i="1"/>
  <c r="Q104" i="1" s="1"/>
  <c r="I105" i="1" l="1"/>
  <c r="P105" i="1" s="1"/>
  <c r="Q105" i="1" s="1"/>
  <c r="L283" i="1"/>
  <c r="C284" i="1"/>
  <c r="J105" i="1" l="1"/>
  <c r="O105" i="1" s="1"/>
  <c r="D106" i="1" s="1"/>
  <c r="C285" i="1"/>
  <c r="L284" i="1"/>
  <c r="E106" i="1" l="1"/>
  <c r="G106" i="1"/>
  <c r="H106" i="1" s="1"/>
  <c r="I106" i="1" s="1"/>
  <c r="K105" i="1"/>
  <c r="M105" i="1" s="1"/>
  <c r="N117" i="1" s="1"/>
  <c r="C286" i="1"/>
  <c r="L285" i="1"/>
  <c r="P106" i="1" l="1"/>
  <c r="Q106" i="1" s="1"/>
  <c r="J106" i="1"/>
  <c r="K106" i="1" s="1"/>
  <c r="M106" i="1" s="1"/>
  <c r="N118" i="1" s="1"/>
  <c r="C287" i="1"/>
  <c r="L286" i="1"/>
  <c r="O106" i="1" l="1"/>
  <c r="D107" i="1" s="1"/>
  <c r="L287" i="1"/>
  <c r="C288" i="1"/>
  <c r="E107" i="1"/>
  <c r="G107" i="1"/>
  <c r="C289" i="1" l="1"/>
  <c r="L288" i="1"/>
  <c r="H107" i="1"/>
  <c r="I107" i="1" l="1"/>
  <c r="P107" i="1" s="1"/>
  <c r="Q107" i="1" s="1"/>
  <c r="J107" i="1"/>
  <c r="O107" i="1" s="1"/>
  <c r="D108" i="1" s="1"/>
  <c r="L289" i="1"/>
  <c r="C290" i="1"/>
  <c r="E108" i="1" l="1"/>
  <c r="G108" i="1"/>
  <c r="H108" i="1" s="1"/>
  <c r="L290" i="1"/>
  <c r="C291" i="1"/>
  <c r="K107" i="1"/>
  <c r="M107" i="1" s="1"/>
  <c r="N119" i="1" s="1"/>
  <c r="L291" i="1" l="1"/>
  <c r="C292" i="1"/>
  <c r="I108" i="1"/>
  <c r="J108" i="1"/>
  <c r="O108" i="1" l="1"/>
  <c r="D109" i="1" s="1"/>
  <c r="E109" i="1"/>
  <c r="G109" i="1"/>
  <c r="H109" i="1" s="1"/>
  <c r="K108" i="1"/>
  <c r="M108" i="1" s="1"/>
  <c r="N120" i="1" s="1"/>
  <c r="P108" i="1"/>
  <c r="Q108" i="1" s="1"/>
  <c r="C293" i="1"/>
  <c r="L292" i="1"/>
  <c r="I109" i="1" l="1"/>
  <c r="P109" i="1" s="1"/>
  <c r="Q109" i="1" s="1"/>
  <c r="J109" i="1"/>
  <c r="L293" i="1"/>
  <c r="C294" i="1"/>
  <c r="L294" i="1" l="1"/>
  <c r="C295" i="1"/>
  <c r="K109" i="1"/>
  <c r="M109" i="1" s="1"/>
  <c r="N121" i="1" s="1"/>
  <c r="O109" i="1"/>
  <c r="D110" i="1" s="1"/>
  <c r="C296" i="1" l="1"/>
  <c r="L295" i="1"/>
  <c r="E110" i="1"/>
  <c r="G110" i="1"/>
  <c r="H110" i="1" l="1"/>
  <c r="C297" i="1"/>
  <c r="L296" i="1"/>
  <c r="L297" i="1" l="1"/>
  <c r="C298" i="1"/>
  <c r="I110" i="1"/>
  <c r="J110" i="1" s="1"/>
  <c r="K110" i="1" l="1"/>
  <c r="M110" i="1"/>
  <c r="N122" i="1" s="1"/>
  <c r="O110" i="1"/>
  <c r="D111" i="1" s="1"/>
  <c r="P110" i="1"/>
  <c r="Q110" i="1" s="1"/>
  <c r="L298" i="1"/>
  <c r="C299" i="1"/>
  <c r="C300" i="1" l="1"/>
  <c r="L299" i="1"/>
  <c r="E111" i="1"/>
  <c r="G111" i="1"/>
  <c r="H111" i="1" l="1"/>
  <c r="C301" i="1"/>
  <c r="L300" i="1"/>
  <c r="L301" i="1" l="1"/>
  <c r="C302" i="1"/>
  <c r="I111" i="1"/>
  <c r="J111" i="1"/>
  <c r="O111" i="1" l="1"/>
  <c r="D112" i="1" s="1"/>
  <c r="E112" i="1"/>
  <c r="G112" i="1"/>
  <c r="H112" i="1" s="1"/>
  <c r="K111" i="1"/>
  <c r="M111" i="1" s="1"/>
  <c r="N123" i="1" s="1"/>
  <c r="P111" i="1"/>
  <c r="Q111" i="1" s="1"/>
  <c r="C303" i="1"/>
  <c r="L302" i="1"/>
  <c r="I112" i="1" l="1"/>
  <c r="J112" i="1" s="1"/>
  <c r="C304" i="1"/>
  <c r="L303" i="1"/>
  <c r="K112" i="1" l="1"/>
  <c r="M112" i="1" s="1"/>
  <c r="N124" i="1" s="1"/>
  <c r="L304" i="1"/>
  <c r="C305" i="1"/>
  <c r="P112" i="1"/>
  <c r="Q112" i="1" s="1"/>
  <c r="O112" i="1"/>
  <c r="D113" i="1" s="1"/>
  <c r="L305" i="1" l="1"/>
  <c r="C306" i="1"/>
  <c r="E113" i="1"/>
  <c r="G113" i="1"/>
  <c r="L306" i="1" l="1"/>
  <c r="C307" i="1"/>
  <c r="H113" i="1"/>
  <c r="I113" i="1" l="1"/>
  <c r="P113" i="1" s="1"/>
  <c r="Q113" i="1" s="1"/>
  <c r="J113" i="1"/>
  <c r="C308" i="1"/>
  <c r="L307" i="1"/>
  <c r="K113" i="1" l="1"/>
  <c r="M113" i="1" s="1"/>
  <c r="N125" i="1" s="1"/>
  <c r="O113" i="1"/>
  <c r="D114" i="1" s="1"/>
  <c r="C309" i="1"/>
  <c r="L308" i="1"/>
  <c r="E114" i="1" l="1"/>
  <c r="G114" i="1"/>
  <c r="H114" i="1" s="1"/>
  <c r="I114" i="1" s="1"/>
  <c r="L309" i="1"/>
  <c r="C310" i="1"/>
  <c r="P114" i="1" l="1"/>
  <c r="Q114" i="1" s="1"/>
  <c r="C311" i="1"/>
  <c r="L310" i="1"/>
  <c r="J114" i="1"/>
  <c r="O114" i="1" s="1"/>
  <c r="D115" i="1" s="1"/>
  <c r="E115" i="1" l="1"/>
  <c r="G115" i="1"/>
  <c r="H115" i="1" s="1"/>
  <c r="K114" i="1"/>
  <c r="M114" i="1" s="1"/>
  <c r="N126" i="1" s="1"/>
  <c r="C312" i="1"/>
  <c r="L311" i="1"/>
  <c r="L312" i="1" l="1"/>
  <c r="C313" i="1"/>
  <c r="I115" i="1"/>
  <c r="J115" i="1"/>
  <c r="O115" i="1" l="1"/>
  <c r="D116" i="1" s="1"/>
  <c r="E116" i="1"/>
  <c r="G116" i="1"/>
  <c r="H116" i="1" s="1"/>
  <c r="K115" i="1"/>
  <c r="M115" i="1" s="1"/>
  <c r="N127" i="1" s="1"/>
  <c r="P115" i="1"/>
  <c r="Q115" i="1" s="1"/>
  <c r="L313" i="1"/>
  <c r="C314" i="1"/>
  <c r="L314" i="1" l="1"/>
  <c r="C315" i="1"/>
  <c r="I116" i="1"/>
  <c r="J116" i="1" s="1"/>
  <c r="K116" i="1" l="1"/>
  <c r="M116" i="1" s="1"/>
  <c r="N128" i="1" s="1"/>
  <c r="P116" i="1"/>
  <c r="Q116" i="1" s="1"/>
  <c r="C316" i="1"/>
  <c r="L315" i="1"/>
  <c r="O116" i="1"/>
  <c r="D117" i="1" s="1"/>
  <c r="C317" i="1" l="1"/>
  <c r="L316" i="1"/>
  <c r="E117" i="1"/>
  <c r="G117" i="1"/>
  <c r="L317" i="1" l="1"/>
  <c r="C318" i="1"/>
  <c r="H117" i="1"/>
  <c r="I117" i="1" l="1"/>
  <c r="P117" i="1" s="1"/>
  <c r="Q117" i="1" s="1"/>
  <c r="J117" i="1"/>
  <c r="C319" i="1"/>
  <c r="L318" i="1"/>
  <c r="K117" i="1" l="1"/>
  <c r="M117" i="1" s="1"/>
  <c r="N129" i="1" s="1"/>
  <c r="C320" i="1"/>
  <c r="L319" i="1"/>
  <c r="O117" i="1"/>
  <c r="D118" i="1" s="1"/>
  <c r="E118" i="1" l="1"/>
  <c r="G118" i="1"/>
  <c r="H118" i="1" s="1"/>
  <c r="I118" i="1" s="1"/>
  <c r="L320" i="1"/>
  <c r="C321" i="1"/>
  <c r="P118" i="1" l="1"/>
  <c r="Q118" i="1" s="1"/>
  <c r="C322" i="1"/>
  <c r="L321" i="1"/>
  <c r="J118" i="1"/>
  <c r="O118" i="1" s="1"/>
  <c r="D119" i="1" s="1"/>
  <c r="E119" i="1" l="1"/>
  <c r="G119" i="1"/>
  <c r="H119" i="1" s="1"/>
  <c r="I119" i="1" s="1"/>
  <c r="L322" i="1"/>
  <c r="C323" i="1"/>
  <c r="K118" i="1"/>
  <c r="M118" i="1"/>
  <c r="N130" i="1" s="1"/>
  <c r="L323" i="1" l="1"/>
  <c r="C324" i="1"/>
  <c r="P119" i="1"/>
  <c r="Q119" i="1" s="1"/>
  <c r="J119" i="1"/>
  <c r="K119" i="1" l="1"/>
  <c r="M119" i="1" s="1"/>
  <c r="N131" i="1" s="1"/>
  <c r="C325" i="1"/>
  <c r="L324" i="1"/>
  <c r="O119" i="1"/>
  <c r="D120" i="1" s="1"/>
  <c r="E120" i="1" l="1"/>
  <c r="G120" i="1"/>
  <c r="H120" i="1" s="1"/>
  <c r="L325" i="1"/>
  <c r="C326" i="1"/>
  <c r="C327" i="1" l="1"/>
  <c r="L326" i="1"/>
  <c r="I120" i="1"/>
  <c r="J120" i="1" s="1"/>
  <c r="K120" i="1" l="1"/>
  <c r="M120" i="1" s="1"/>
  <c r="N132" i="1" s="1"/>
  <c r="P120" i="1"/>
  <c r="Q120" i="1" s="1"/>
  <c r="L327" i="1"/>
  <c r="C328" i="1"/>
  <c r="O120" i="1"/>
  <c r="D121" i="1" s="1"/>
  <c r="L328" i="1" l="1"/>
  <c r="C329" i="1"/>
  <c r="E121" i="1"/>
  <c r="G121" i="1"/>
  <c r="C330" i="1" l="1"/>
  <c r="L329" i="1"/>
  <c r="H121" i="1"/>
  <c r="I121" i="1" l="1"/>
  <c r="P121" i="1" s="1"/>
  <c r="Q121" i="1" s="1"/>
  <c r="J121" i="1"/>
  <c r="L330" i="1"/>
  <c r="C331" i="1"/>
  <c r="K121" i="1" l="1"/>
  <c r="M121" i="1" s="1"/>
  <c r="N133" i="1" s="1"/>
  <c r="O121" i="1"/>
  <c r="D122" i="1" s="1"/>
  <c r="C332" i="1"/>
  <c r="L331" i="1"/>
  <c r="C333" i="1" l="1"/>
  <c r="L332" i="1"/>
  <c r="E122" i="1"/>
  <c r="G122" i="1"/>
  <c r="H122" i="1" s="1"/>
  <c r="I122" i="1" l="1"/>
  <c r="J122" i="1" s="1"/>
  <c r="L333" i="1"/>
  <c r="C334" i="1"/>
  <c r="C335" i="1" l="1"/>
  <c r="L334" i="1"/>
  <c r="K122" i="1"/>
  <c r="M122" i="1" s="1"/>
  <c r="N134" i="1" s="1"/>
  <c r="P122" i="1"/>
  <c r="Q122" i="1" s="1"/>
  <c r="O122" i="1"/>
  <c r="D123" i="1" s="1"/>
  <c r="L335" i="1" l="1"/>
  <c r="C336" i="1"/>
  <c r="E123" i="1"/>
  <c r="G123" i="1"/>
  <c r="C337" i="1" l="1"/>
  <c r="L336" i="1"/>
  <c r="H123" i="1"/>
  <c r="I123" i="1" l="1"/>
  <c r="P123" i="1" s="1"/>
  <c r="Q123" i="1" s="1"/>
  <c r="J123" i="1"/>
  <c r="C338" i="1"/>
  <c r="L337" i="1"/>
  <c r="K123" i="1" l="1"/>
  <c r="M123" i="1" s="1"/>
  <c r="N135" i="1" s="1"/>
  <c r="L338" i="1"/>
  <c r="C339" i="1"/>
  <c r="O123" i="1"/>
  <c r="D124" i="1" s="1"/>
  <c r="C340" i="1" l="1"/>
  <c r="L339" i="1"/>
  <c r="E124" i="1"/>
  <c r="G124" i="1"/>
  <c r="H124" i="1" s="1"/>
  <c r="C341" i="1" l="1"/>
  <c r="L340" i="1"/>
  <c r="I124" i="1"/>
  <c r="J124" i="1" s="1"/>
  <c r="K124" i="1" l="1"/>
  <c r="M124" i="1" s="1"/>
  <c r="N136" i="1" s="1"/>
  <c r="P124" i="1"/>
  <c r="Q124" i="1" s="1"/>
  <c r="L341" i="1"/>
  <c r="C342" i="1"/>
  <c r="O124" i="1"/>
  <c r="D125" i="1" s="1"/>
  <c r="C343" i="1" l="1"/>
  <c r="L342" i="1"/>
  <c r="E125" i="1"/>
  <c r="G125" i="1"/>
  <c r="L343" i="1" l="1"/>
  <c r="C344" i="1"/>
  <c r="H125" i="1"/>
  <c r="I125" i="1" l="1"/>
  <c r="P125" i="1" s="1"/>
  <c r="Q125" i="1" s="1"/>
  <c r="J125" i="1"/>
  <c r="O125" i="1" s="1"/>
  <c r="D126" i="1" s="1"/>
  <c r="C345" i="1"/>
  <c r="L344" i="1"/>
  <c r="E126" i="1" l="1"/>
  <c r="G126" i="1"/>
  <c r="H126" i="1" s="1"/>
  <c r="K125" i="1"/>
  <c r="M125" i="1" s="1"/>
  <c r="N137" i="1" s="1"/>
  <c r="C346" i="1"/>
  <c r="L345" i="1"/>
  <c r="I126" i="1" l="1"/>
  <c r="P126" i="1" s="1"/>
  <c r="Q126" i="1" s="1"/>
  <c r="L346" i="1"/>
  <c r="C347" i="1"/>
  <c r="J126" i="1"/>
  <c r="C348" i="1" l="1"/>
  <c r="L347" i="1"/>
  <c r="O126" i="1"/>
  <c r="D127" i="1" s="1"/>
  <c r="K126" i="1"/>
  <c r="M126" i="1" s="1"/>
  <c r="N138" i="1" s="1"/>
  <c r="E127" i="1" l="1"/>
  <c r="G127" i="1"/>
  <c r="H127" i="1" s="1"/>
  <c r="C349" i="1"/>
  <c r="L348" i="1"/>
  <c r="L349" i="1" l="1"/>
  <c r="C350" i="1"/>
  <c r="I127" i="1"/>
  <c r="J127" i="1"/>
  <c r="O127" i="1" l="1"/>
  <c r="D128" i="1" s="1"/>
  <c r="E128" i="1"/>
  <c r="G128" i="1"/>
  <c r="H128" i="1" s="1"/>
  <c r="P127" i="1"/>
  <c r="Q127" i="1" s="1"/>
  <c r="L350" i="1"/>
  <c r="C351" i="1"/>
  <c r="K127" i="1"/>
  <c r="M127" i="1" s="1"/>
  <c r="N139" i="1" s="1"/>
  <c r="C352" i="1" l="1"/>
  <c r="L351" i="1"/>
  <c r="I128" i="1"/>
  <c r="J128" i="1" s="1"/>
  <c r="K128" i="1" l="1"/>
  <c r="M128" i="1" s="1"/>
  <c r="N140" i="1" s="1"/>
  <c r="C353" i="1"/>
  <c r="L352" i="1"/>
  <c r="P128" i="1"/>
  <c r="Q128" i="1" s="1"/>
  <c r="O128" i="1"/>
  <c r="D129" i="1" s="1"/>
  <c r="L353" i="1" l="1"/>
  <c r="C354" i="1"/>
  <c r="E129" i="1"/>
  <c r="G129" i="1"/>
  <c r="C355" i="1" l="1"/>
  <c r="L354" i="1"/>
  <c r="H129" i="1"/>
  <c r="I129" i="1" l="1"/>
  <c r="P129" i="1" s="1"/>
  <c r="Q129" i="1" s="1"/>
  <c r="J129" i="1"/>
  <c r="C356" i="1"/>
  <c r="L355" i="1"/>
  <c r="L356" i="1" l="1"/>
  <c r="C357" i="1"/>
  <c r="K129" i="1"/>
  <c r="M129" i="1" s="1"/>
  <c r="N141" i="1" s="1"/>
  <c r="O129" i="1"/>
  <c r="D130" i="1" s="1"/>
  <c r="E130" i="1" l="1"/>
  <c r="G130" i="1"/>
  <c r="H130" i="1" s="1"/>
  <c r="C358" i="1"/>
  <c r="L357" i="1"/>
  <c r="L358" i="1" l="1"/>
  <c r="C359" i="1"/>
  <c r="I130" i="1"/>
  <c r="J130" i="1" s="1"/>
  <c r="K130" i="1" l="1"/>
  <c r="M130" i="1" s="1"/>
  <c r="N142" i="1" s="1"/>
  <c r="C360" i="1"/>
  <c r="L359" i="1"/>
  <c r="P130" i="1"/>
  <c r="Q130" i="1" s="1"/>
  <c r="O130" i="1"/>
  <c r="D131" i="1" s="1"/>
  <c r="C361" i="1" l="1"/>
  <c r="L360" i="1"/>
  <c r="E131" i="1"/>
  <c r="G131" i="1"/>
  <c r="H131" i="1" l="1"/>
  <c r="L361" i="1"/>
  <c r="C362" i="1"/>
  <c r="I131" i="1" l="1"/>
  <c r="P131" i="1" s="1"/>
  <c r="Q131" i="1" s="1"/>
  <c r="J131" i="1"/>
  <c r="C363" i="1"/>
  <c r="L362" i="1"/>
  <c r="O131" i="1" l="1"/>
  <c r="D132" i="1" s="1"/>
  <c r="C364" i="1"/>
  <c r="L363" i="1"/>
  <c r="K131" i="1"/>
  <c r="M131" i="1" s="1"/>
  <c r="N143" i="1" s="1"/>
  <c r="L364" i="1" l="1"/>
  <c r="C365" i="1"/>
  <c r="E132" i="1"/>
  <c r="G132" i="1"/>
  <c r="H132" i="1" l="1"/>
  <c r="C366" i="1"/>
  <c r="L365" i="1"/>
  <c r="L366" i="1" l="1"/>
  <c r="C367" i="1"/>
  <c r="I132" i="1"/>
  <c r="J132" i="1" s="1"/>
  <c r="K132" i="1" l="1"/>
  <c r="M132" i="1" s="1"/>
  <c r="N144" i="1" s="1"/>
  <c r="O132" i="1"/>
  <c r="D133" i="1" s="1"/>
  <c r="C368" i="1"/>
  <c r="L367" i="1"/>
  <c r="P132" i="1"/>
  <c r="Q132" i="1" s="1"/>
  <c r="E133" i="1" l="1"/>
  <c r="G133" i="1"/>
  <c r="H133" i="1" s="1"/>
  <c r="I133" i="1" s="1"/>
  <c r="C369" i="1"/>
  <c r="L368" i="1"/>
  <c r="L369" i="1" l="1"/>
  <c r="C370" i="1"/>
  <c r="P133" i="1"/>
  <c r="Q133" i="1" s="1"/>
  <c r="J133" i="1"/>
  <c r="K133" i="1" l="1"/>
  <c r="M133" i="1" s="1"/>
  <c r="N145" i="1" s="1"/>
  <c r="O133" i="1"/>
  <c r="D134" i="1" s="1"/>
  <c r="C371" i="1"/>
  <c r="L370" i="1"/>
  <c r="C372" i="1" l="1"/>
  <c r="L371" i="1"/>
  <c r="E134" i="1"/>
  <c r="G134" i="1"/>
  <c r="H134" i="1" l="1"/>
  <c r="L372" i="1"/>
  <c r="C373" i="1"/>
  <c r="C374" i="1" l="1"/>
  <c r="L373" i="1"/>
  <c r="I134" i="1"/>
  <c r="J134" i="1" s="1"/>
  <c r="K134" i="1" l="1"/>
  <c r="M134" i="1" s="1"/>
  <c r="N146" i="1" s="1"/>
  <c r="O134" i="1"/>
  <c r="D135" i="1" s="1"/>
  <c r="L374" i="1"/>
  <c r="C375" i="1"/>
  <c r="P134" i="1"/>
  <c r="Q134" i="1" s="1"/>
  <c r="C376" i="1" l="1"/>
  <c r="L375" i="1"/>
  <c r="E135" i="1"/>
  <c r="G135" i="1"/>
  <c r="C377" i="1" l="1"/>
  <c r="L376" i="1"/>
  <c r="H135" i="1"/>
  <c r="L377" i="1" l="1"/>
  <c r="C378" i="1"/>
  <c r="I135" i="1"/>
  <c r="J135" i="1" s="1"/>
  <c r="K135" i="1" l="1"/>
  <c r="M135" i="1" s="1"/>
  <c r="N147" i="1" s="1"/>
  <c r="P135" i="1"/>
  <c r="Q135" i="1" s="1"/>
  <c r="O135" i="1"/>
  <c r="D136" i="1" s="1"/>
  <c r="C379" i="1"/>
  <c r="L378" i="1"/>
  <c r="C380" i="1" l="1"/>
  <c r="L379" i="1"/>
  <c r="E136" i="1"/>
  <c r="G136" i="1"/>
  <c r="H136" i="1" l="1"/>
  <c r="L380" i="1"/>
  <c r="C381" i="1"/>
  <c r="C382" i="1" l="1"/>
  <c r="L381" i="1"/>
  <c r="I136" i="1"/>
  <c r="J136" i="1" s="1"/>
  <c r="K136" i="1" l="1"/>
  <c r="M136" i="1" s="1"/>
  <c r="N148" i="1" s="1"/>
  <c r="O136" i="1"/>
  <c r="D137" i="1" s="1"/>
  <c r="L382" i="1"/>
  <c r="C383" i="1"/>
  <c r="P136" i="1"/>
  <c r="Q136" i="1" s="1"/>
  <c r="C384" i="1" l="1"/>
  <c r="L383" i="1"/>
  <c r="E137" i="1"/>
  <c r="G137" i="1"/>
  <c r="C385" i="1" l="1"/>
  <c r="L384" i="1"/>
  <c r="H137" i="1"/>
  <c r="I137" i="1" l="1"/>
  <c r="P137" i="1" s="1"/>
  <c r="Q137" i="1" s="1"/>
  <c r="J137" i="1"/>
  <c r="L385" i="1"/>
  <c r="O137" i="1" l="1"/>
  <c r="D138" i="1" s="1"/>
  <c r="K137" i="1"/>
  <c r="M137" i="1" s="1"/>
  <c r="N149" i="1" s="1"/>
  <c r="E138" i="1" l="1"/>
  <c r="G138" i="1"/>
  <c r="H138" i="1" s="1"/>
  <c r="I138" i="1" l="1"/>
  <c r="P138" i="1" s="1"/>
  <c r="Q138" i="1" s="1"/>
  <c r="J138" i="1"/>
  <c r="K138" i="1" l="1"/>
  <c r="M138" i="1" s="1"/>
  <c r="N150" i="1" s="1"/>
  <c r="O138" i="1"/>
  <c r="D139" i="1" s="1"/>
  <c r="E139" i="1" l="1"/>
  <c r="G139" i="1"/>
  <c r="H139" i="1" s="1"/>
  <c r="I139" i="1" s="1"/>
  <c r="P139" i="1" l="1"/>
  <c r="Q139" i="1" s="1"/>
  <c r="J139" i="1"/>
  <c r="K139" i="1" l="1"/>
  <c r="M139" i="1" s="1"/>
  <c r="N151" i="1" s="1"/>
  <c r="O139" i="1"/>
  <c r="D140" i="1" s="1"/>
  <c r="E140" i="1" l="1"/>
  <c r="G140" i="1"/>
  <c r="H140" i="1" s="1"/>
  <c r="I140" i="1" s="1"/>
  <c r="P140" i="1" l="1"/>
  <c r="Q140" i="1" s="1"/>
  <c r="J140" i="1"/>
  <c r="K140" i="1" l="1"/>
  <c r="M140" i="1" s="1"/>
  <c r="N152" i="1" s="1"/>
  <c r="O140" i="1"/>
  <c r="D141" i="1" s="1"/>
  <c r="E141" i="1" l="1"/>
  <c r="G141" i="1"/>
  <c r="H141" i="1" s="1"/>
  <c r="I141" i="1" s="1"/>
  <c r="P141" i="1" l="1"/>
  <c r="Q141" i="1" s="1"/>
  <c r="J141" i="1"/>
  <c r="K141" i="1" l="1"/>
  <c r="M141" i="1" s="1"/>
  <c r="N153" i="1" s="1"/>
  <c r="O141" i="1"/>
  <c r="D142" i="1" s="1"/>
  <c r="E142" i="1" l="1"/>
  <c r="G142" i="1"/>
  <c r="H142" i="1" s="1"/>
  <c r="I142" i="1" s="1"/>
  <c r="P142" i="1" l="1"/>
  <c r="Q142" i="1" s="1"/>
  <c r="J142" i="1"/>
  <c r="O142" i="1" s="1"/>
  <c r="D143" i="1" s="1"/>
  <c r="E143" i="1" l="1"/>
  <c r="G143" i="1"/>
  <c r="H143" i="1" s="1"/>
  <c r="K142" i="1"/>
  <c r="M142" i="1" s="1"/>
  <c r="N154" i="1" s="1"/>
  <c r="J143" i="1" l="1"/>
  <c r="I143" i="1"/>
  <c r="P143" i="1" s="1"/>
  <c r="Q143" i="1" s="1"/>
  <c r="O143" i="1" l="1"/>
  <c r="D144" i="1" s="1"/>
  <c r="K143" i="1"/>
  <c r="M143" i="1" s="1"/>
  <c r="N155" i="1" s="1"/>
  <c r="E144" i="1" l="1"/>
  <c r="G144" i="1"/>
  <c r="H144" i="1" s="1"/>
  <c r="I144" i="1" l="1"/>
  <c r="P144" i="1" s="1"/>
  <c r="Q144" i="1" s="1"/>
  <c r="J144" i="1"/>
  <c r="K144" i="1" l="1"/>
  <c r="M144" i="1" s="1"/>
  <c r="N156" i="1" s="1"/>
  <c r="O144" i="1"/>
  <c r="D145" i="1" s="1"/>
  <c r="E145" i="1" l="1"/>
  <c r="G145" i="1"/>
  <c r="H145" i="1" s="1"/>
  <c r="I145" i="1" l="1"/>
  <c r="P145" i="1" s="1"/>
  <c r="Q145" i="1" s="1"/>
  <c r="J145" i="1"/>
  <c r="O145" i="1" l="1"/>
  <c r="D146" i="1" s="1"/>
  <c r="K145" i="1"/>
  <c r="M145" i="1" s="1"/>
  <c r="N157" i="1" s="1"/>
  <c r="E146" i="1" l="1"/>
  <c r="G146" i="1"/>
  <c r="H146" i="1" s="1"/>
  <c r="I146" i="1" l="1"/>
  <c r="P146" i="1" s="1"/>
  <c r="Q146" i="1" s="1"/>
  <c r="J146" i="1" l="1"/>
  <c r="O146" i="1" s="1"/>
  <c r="D147" i="1" s="1"/>
  <c r="K146" i="1" l="1"/>
  <c r="M146" i="1" s="1"/>
  <c r="N158" i="1" s="1"/>
  <c r="E147" i="1"/>
  <c r="G147" i="1"/>
  <c r="H147" i="1" s="1"/>
  <c r="I147" i="1" l="1"/>
  <c r="P147" i="1" s="1"/>
  <c r="Q147" i="1" s="1"/>
  <c r="J147" i="1"/>
  <c r="K147" i="1" l="1"/>
  <c r="M147" i="1" s="1"/>
  <c r="N159" i="1" s="1"/>
  <c r="O147" i="1"/>
  <c r="D148" i="1" s="1"/>
  <c r="E148" i="1" l="1"/>
  <c r="G148" i="1"/>
  <c r="H148" i="1" s="1"/>
  <c r="I148" i="1" l="1"/>
  <c r="P148" i="1" s="1"/>
  <c r="Q148" i="1" s="1"/>
  <c r="J148" i="1"/>
  <c r="K148" i="1" l="1"/>
  <c r="M148" i="1" s="1"/>
  <c r="N160" i="1" s="1"/>
  <c r="O148" i="1"/>
  <c r="D149" i="1" s="1"/>
  <c r="E149" i="1" l="1"/>
  <c r="G149" i="1"/>
  <c r="H149" i="1" s="1"/>
  <c r="I149" i="1" l="1"/>
  <c r="P149" i="1" s="1"/>
  <c r="Q149" i="1" s="1"/>
  <c r="J149" i="1"/>
  <c r="O149" i="1" s="1"/>
  <c r="D150" i="1" s="1"/>
  <c r="E150" i="1" l="1"/>
  <c r="G150" i="1"/>
  <c r="H150" i="1" s="1"/>
  <c r="K149" i="1"/>
  <c r="M149" i="1" s="1"/>
  <c r="N161" i="1" s="1"/>
  <c r="I150" i="1" l="1"/>
  <c r="J150" i="1" s="1"/>
  <c r="K150" i="1" l="1"/>
  <c r="M150" i="1" s="1"/>
  <c r="N162" i="1" s="1"/>
  <c r="O150" i="1"/>
  <c r="D151" i="1" s="1"/>
  <c r="P150" i="1"/>
  <c r="Q150" i="1" s="1"/>
  <c r="E151" i="1" l="1"/>
  <c r="G151" i="1"/>
  <c r="H151" i="1" s="1"/>
  <c r="J151" i="1" l="1"/>
  <c r="I151" i="1"/>
  <c r="P151" i="1" s="1"/>
  <c r="Q151" i="1" s="1"/>
  <c r="K151" i="1" l="1"/>
  <c r="M151" i="1" s="1"/>
  <c r="N163" i="1" s="1"/>
  <c r="O151" i="1"/>
  <c r="D152" i="1" s="1"/>
  <c r="E152" i="1" l="1"/>
  <c r="G152" i="1"/>
  <c r="H152" i="1" s="1"/>
  <c r="I152" i="1" l="1"/>
  <c r="J152" i="1"/>
  <c r="O152" i="1" l="1"/>
  <c r="D153" i="1" s="1"/>
  <c r="E153" i="1"/>
  <c r="G153" i="1"/>
  <c r="H153" i="1" s="1"/>
  <c r="K152" i="1"/>
  <c r="M152" i="1" s="1"/>
  <c r="N164" i="1" s="1"/>
  <c r="P152" i="1"/>
  <c r="Q152" i="1" s="1"/>
  <c r="I153" i="1" l="1"/>
  <c r="P153" i="1" s="1"/>
  <c r="Q153" i="1" s="1"/>
  <c r="J153" i="1"/>
  <c r="O153" i="1" s="1"/>
  <c r="D154" i="1" s="1"/>
  <c r="E154" i="1" l="1"/>
  <c r="G154" i="1"/>
  <c r="H154" i="1" s="1"/>
  <c r="I154" i="1" s="1"/>
  <c r="K153" i="1"/>
  <c r="M153" i="1" s="1"/>
  <c r="N165" i="1" s="1"/>
  <c r="P154" i="1" l="1"/>
  <c r="Q154" i="1" s="1"/>
  <c r="J154" i="1"/>
  <c r="K154" i="1" l="1"/>
  <c r="M154" i="1" s="1"/>
  <c r="N166" i="1" s="1"/>
  <c r="O154" i="1"/>
  <c r="D155" i="1" s="1"/>
  <c r="E155" i="1" l="1"/>
  <c r="G155" i="1"/>
  <c r="H155" i="1" s="1"/>
  <c r="I155" i="1" s="1"/>
  <c r="P155" i="1" l="1"/>
  <c r="Q155" i="1" s="1"/>
  <c r="J155" i="1"/>
  <c r="K155" i="1" l="1"/>
  <c r="M155" i="1" s="1"/>
  <c r="N167" i="1" s="1"/>
  <c r="O155" i="1"/>
  <c r="D156" i="1" s="1"/>
  <c r="E156" i="1" l="1"/>
  <c r="G156" i="1"/>
  <c r="H156" i="1" s="1"/>
  <c r="I156" i="1" l="1"/>
  <c r="P156" i="1" s="1"/>
  <c r="Q156" i="1" s="1"/>
  <c r="J156" i="1" l="1"/>
  <c r="K156" i="1" l="1"/>
  <c r="M156" i="1" s="1"/>
  <c r="N168" i="1" s="1"/>
  <c r="O156" i="1"/>
  <c r="D157" i="1" s="1"/>
  <c r="E157" i="1" l="1"/>
  <c r="G157" i="1"/>
  <c r="H157" i="1" s="1"/>
  <c r="I157" i="1" l="1"/>
  <c r="P157" i="1" s="1"/>
  <c r="Q157" i="1" s="1"/>
  <c r="J157" i="1"/>
  <c r="K157" i="1" l="1"/>
  <c r="M157" i="1" s="1"/>
  <c r="N169" i="1" s="1"/>
  <c r="O157" i="1"/>
  <c r="D158" i="1" s="1"/>
  <c r="E158" i="1" l="1"/>
  <c r="G158" i="1"/>
  <c r="H158" i="1" s="1"/>
  <c r="I158" i="1" l="1"/>
  <c r="P158" i="1" s="1"/>
  <c r="Q158" i="1" s="1"/>
  <c r="J158" i="1"/>
  <c r="K158" i="1" l="1"/>
  <c r="M158" i="1" s="1"/>
  <c r="N170" i="1" s="1"/>
  <c r="O158" i="1"/>
  <c r="D159" i="1" s="1"/>
  <c r="E159" i="1" l="1"/>
  <c r="G159" i="1"/>
  <c r="H159" i="1" s="1"/>
  <c r="I159" i="1" s="1"/>
  <c r="P159" i="1" l="1"/>
  <c r="Q159" i="1" s="1"/>
  <c r="J159" i="1"/>
  <c r="K159" i="1" l="1"/>
  <c r="M159" i="1" s="1"/>
  <c r="N171" i="1" s="1"/>
  <c r="O159" i="1"/>
  <c r="D160" i="1" s="1"/>
  <c r="E160" i="1" l="1"/>
  <c r="G160" i="1"/>
  <c r="H160" i="1" s="1"/>
  <c r="I160" i="1" l="1"/>
  <c r="P160" i="1" s="1"/>
  <c r="Q160" i="1" s="1"/>
  <c r="J160" i="1"/>
  <c r="K160" i="1" l="1"/>
  <c r="M160" i="1" s="1"/>
  <c r="N172" i="1" s="1"/>
  <c r="O160" i="1"/>
  <c r="D161" i="1" s="1"/>
  <c r="E161" i="1" l="1"/>
  <c r="G161" i="1"/>
  <c r="H161" i="1" s="1"/>
  <c r="I161" i="1" s="1"/>
  <c r="P161" i="1" l="1"/>
  <c r="Q161" i="1" s="1"/>
  <c r="J161" i="1"/>
  <c r="O161" i="1" s="1"/>
  <c r="D162" i="1" s="1"/>
  <c r="E162" i="1" l="1"/>
  <c r="G162" i="1"/>
  <c r="H162" i="1" s="1"/>
  <c r="K161" i="1"/>
  <c r="M161" i="1" s="1"/>
  <c r="N173" i="1" s="1"/>
  <c r="I162" i="1" l="1"/>
  <c r="P162" i="1" s="1"/>
  <c r="Q162" i="1" s="1"/>
  <c r="J162" i="1"/>
  <c r="O162" i="1" s="1"/>
  <c r="D163" i="1" s="1"/>
  <c r="E163" i="1" l="1"/>
  <c r="G163" i="1"/>
  <c r="H163" i="1" s="1"/>
  <c r="I163" i="1" s="1"/>
  <c r="K162" i="1"/>
  <c r="M162" i="1" s="1"/>
  <c r="N174" i="1" s="1"/>
  <c r="P163" i="1" l="1"/>
  <c r="Q163" i="1" s="1"/>
  <c r="J163" i="1"/>
  <c r="K163" i="1" l="1"/>
  <c r="M163" i="1" s="1"/>
  <c r="N175" i="1" s="1"/>
  <c r="O163" i="1"/>
  <c r="D164" i="1" s="1"/>
  <c r="E164" i="1" l="1"/>
  <c r="G164" i="1"/>
  <c r="H164" i="1" s="1"/>
  <c r="I164" i="1" s="1"/>
  <c r="P164" i="1" l="1"/>
  <c r="Q164" i="1" s="1"/>
  <c r="J164" i="1"/>
  <c r="K164" i="1" l="1"/>
  <c r="M164" i="1" s="1"/>
  <c r="N176" i="1" s="1"/>
  <c r="O164" i="1"/>
  <c r="D165" i="1" s="1"/>
  <c r="E165" i="1" l="1"/>
  <c r="G165" i="1"/>
  <c r="H165" i="1" s="1"/>
  <c r="I165" i="1" l="1"/>
  <c r="P165" i="1" s="1"/>
  <c r="Q165" i="1" s="1"/>
  <c r="J165" i="1"/>
  <c r="K165" i="1" l="1"/>
  <c r="M165" i="1" s="1"/>
  <c r="N177" i="1" s="1"/>
  <c r="O165" i="1"/>
  <c r="D166" i="1" s="1"/>
  <c r="E166" i="1" l="1"/>
  <c r="G166" i="1"/>
  <c r="H166" i="1" s="1"/>
  <c r="I166" i="1" l="1"/>
  <c r="P166" i="1" s="1"/>
  <c r="Q166" i="1" s="1"/>
  <c r="J166" i="1"/>
  <c r="K166" i="1" l="1"/>
  <c r="M166" i="1" s="1"/>
  <c r="N178" i="1" s="1"/>
  <c r="O166" i="1"/>
  <c r="D167" i="1" s="1"/>
  <c r="E167" i="1" l="1"/>
  <c r="G167" i="1"/>
  <c r="H167" i="1" s="1"/>
  <c r="I167" i="1" l="1"/>
  <c r="P167" i="1" s="1"/>
  <c r="Q167" i="1" s="1"/>
  <c r="J167" i="1"/>
  <c r="O167" i="1" s="1"/>
  <c r="D168" i="1" s="1"/>
  <c r="E168" i="1" l="1"/>
  <c r="G168" i="1"/>
  <c r="H168" i="1" s="1"/>
  <c r="I168" i="1" s="1"/>
  <c r="K167" i="1"/>
  <c r="M167" i="1" s="1"/>
  <c r="N179" i="1" s="1"/>
  <c r="P168" i="1" l="1"/>
  <c r="Q168" i="1" s="1"/>
  <c r="J168" i="1"/>
  <c r="K168" i="1" l="1"/>
  <c r="M168" i="1" s="1"/>
  <c r="N180" i="1" s="1"/>
  <c r="O168" i="1"/>
  <c r="D169" i="1" s="1"/>
  <c r="E169" i="1" l="1"/>
  <c r="G169" i="1"/>
  <c r="H169" i="1" s="1"/>
  <c r="I169" i="1" l="1"/>
  <c r="P169" i="1" s="1"/>
  <c r="Q169" i="1" s="1"/>
  <c r="J169" i="1"/>
  <c r="O169" i="1" l="1"/>
  <c r="D170" i="1" s="1"/>
  <c r="K169" i="1"/>
  <c r="M169" i="1" s="1"/>
  <c r="N181" i="1" s="1"/>
  <c r="E170" i="1" l="1"/>
  <c r="G170" i="1"/>
  <c r="H170" i="1" s="1"/>
  <c r="I170" i="1" s="1"/>
  <c r="P170" i="1" l="1"/>
  <c r="Q170" i="1" s="1"/>
  <c r="J170" i="1"/>
  <c r="O170" i="1" s="1"/>
  <c r="D171" i="1" s="1"/>
  <c r="E171" i="1" l="1"/>
  <c r="G171" i="1"/>
  <c r="H171" i="1" s="1"/>
  <c r="K170" i="1"/>
  <c r="M170" i="1" s="1"/>
  <c r="N182" i="1" s="1"/>
  <c r="I171" i="1" l="1"/>
  <c r="P171" i="1" s="1"/>
  <c r="Q171" i="1" s="1"/>
  <c r="J171" i="1"/>
  <c r="K171" i="1" l="1"/>
  <c r="M171" i="1" s="1"/>
  <c r="N183" i="1" s="1"/>
  <c r="O171" i="1"/>
  <c r="D172" i="1" s="1"/>
  <c r="E172" i="1" l="1"/>
  <c r="G172" i="1"/>
  <c r="H172" i="1" s="1"/>
  <c r="I172" i="1" l="1"/>
  <c r="P172" i="1" s="1"/>
  <c r="Q172" i="1" s="1"/>
  <c r="J172" i="1"/>
  <c r="O172" i="1" s="1"/>
  <c r="D173" i="1" s="1"/>
  <c r="E173" i="1" l="1"/>
  <c r="G173" i="1"/>
  <c r="H173" i="1" s="1"/>
  <c r="I173" i="1" s="1"/>
  <c r="K172" i="1"/>
  <c r="M172" i="1" s="1"/>
  <c r="N184" i="1" s="1"/>
  <c r="P173" i="1" l="1"/>
  <c r="Q173" i="1" s="1"/>
  <c r="J173" i="1"/>
  <c r="K173" i="1" l="1"/>
  <c r="M173" i="1" s="1"/>
  <c r="N185" i="1" s="1"/>
  <c r="O173" i="1"/>
  <c r="D174" i="1" s="1"/>
  <c r="E174" i="1" l="1"/>
  <c r="G174" i="1"/>
  <c r="H174" i="1" s="1"/>
  <c r="I174" i="1" l="1"/>
  <c r="P174" i="1" s="1"/>
  <c r="Q174" i="1" s="1"/>
  <c r="J174" i="1"/>
  <c r="O174" i="1" s="1"/>
  <c r="D175" i="1" s="1"/>
  <c r="E175" i="1" l="1"/>
  <c r="G175" i="1"/>
  <c r="H175" i="1" s="1"/>
  <c r="I175" i="1" s="1"/>
  <c r="K174" i="1"/>
  <c r="M174" i="1" s="1"/>
  <c r="N186" i="1" s="1"/>
  <c r="P175" i="1" l="1"/>
  <c r="Q175" i="1" s="1"/>
  <c r="J175" i="1"/>
  <c r="O175" i="1" s="1"/>
  <c r="D176" i="1" s="1"/>
  <c r="E176" i="1" l="1"/>
  <c r="G176" i="1"/>
  <c r="H176" i="1" s="1"/>
  <c r="K175" i="1"/>
  <c r="M175" i="1" s="1"/>
  <c r="N187" i="1" s="1"/>
  <c r="I176" i="1" l="1"/>
  <c r="P176" i="1" s="1"/>
  <c r="Q176" i="1" s="1"/>
  <c r="J176" i="1"/>
  <c r="O176" i="1" s="1"/>
  <c r="D177" i="1" s="1"/>
  <c r="E177" i="1" l="1"/>
  <c r="G177" i="1"/>
  <c r="H177" i="1" s="1"/>
  <c r="K176" i="1"/>
  <c r="M176" i="1" s="1"/>
  <c r="N188" i="1" s="1"/>
  <c r="I177" i="1" l="1"/>
  <c r="P177" i="1" s="1"/>
  <c r="Q177" i="1" s="1"/>
  <c r="J177" i="1"/>
  <c r="K177" i="1" l="1"/>
  <c r="M177" i="1" s="1"/>
  <c r="N189" i="1" s="1"/>
  <c r="O177" i="1"/>
  <c r="D178" i="1" s="1"/>
  <c r="E178" i="1" l="1"/>
  <c r="G178" i="1"/>
  <c r="H178" i="1" s="1"/>
  <c r="I178" i="1" l="1"/>
  <c r="P178" i="1" s="1"/>
  <c r="Q178" i="1" s="1"/>
  <c r="J178" i="1"/>
  <c r="K178" i="1" l="1"/>
  <c r="M178" i="1" s="1"/>
  <c r="N190" i="1" s="1"/>
  <c r="O178" i="1"/>
  <c r="D179" i="1" s="1"/>
  <c r="E179" i="1" l="1"/>
  <c r="G179" i="1"/>
  <c r="H179" i="1" s="1"/>
  <c r="I179" i="1" l="1"/>
  <c r="P179" i="1" s="1"/>
  <c r="Q179" i="1" s="1"/>
  <c r="J179" i="1" l="1"/>
  <c r="O179" i="1"/>
  <c r="D180" i="1" s="1"/>
  <c r="K179" i="1"/>
  <c r="M179" i="1" s="1"/>
  <c r="N191" i="1" s="1"/>
  <c r="E180" i="1" l="1"/>
  <c r="G180" i="1"/>
  <c r="H180" i="1" s="1"/>
  <c r="I180" i="1" l="1"/>
  <c r="P180" i="1" s="1"/>
  <c r="Q180" i="1" s="1"/>
  <c r="J180" i="1"/>
  <c r="O180" i="1" l="1"/>
  <c r="D181" i="1" s="1"/>
  <c r="K180" i="1"/>
  <c r="M180" i="1" s="1"/>
  <c r="N192" i="1" s="1"/>
  <c r="E181" i="1" l="1"/>
  <c r="G181" i="1"/>
  <c r="H181" i="1" s="1"/>
  <c r="I181" i="1" l="1"/>
  <c r="J181" i="1"/>
  <c r="O181" i="1" l="1"/>
  <c r="D182" i="1" s="1"/>
  <c r="E182" i="1"/>
  <c r="G182" i="1"/>
  <c r="H182" i="1" s="1"/>
  <c r="K181" i="1"/>
  <c r="M181" i="1" s="1"/>
  <c r="N193" i="1" s="1"/>
  <c r="P181" i="1"/>
  <c r="Q181" i="1" s="1"/>
  <c r="I182" i="1" l="1"/>
  <c r="J182" i="1" s="1"/>
  <c r="O182" i="1" s="1"/>
  <c r="D183" i="1" s="1"/>
  <c r="P182" i="1"/>
  <c r="Q182" i="1" s="1"/>
  <c r="E183" i="1" l="1"/>
  <c r="G183" i="1"/>
  <c r="H183" i="1" s="1"/>
  <c r="K182" i="1"/>
  <c r="M182" i="1" s="1"/>
  <c r="N194" i="1" s="1"/>
  <c r="I183" i="1" l="1"/>
  <c r="P183" i="1" s="1"/>
  <c r="Q183" i="1" s="1"/>
  <c r="J183" i="1"/>
  <c r="K183" i="1" l="1"/>
  <c r="M183" i="1" s="1"/>
  <c r="N195" i="1" s="1"/>
  <c r="O183" i="1"/>
  <c r="D184" i="1" s="1"/>
  <c r="E184" i="1" l="1"/>
  <c r="G184" i="1"/>
  <c r="H184" i="1" s="1"/>
  <c r="I184" i="1" l="1"/>
  <c r="P184" i="1" s="1"/>
  <c r="Q184" i="1" s="1"/>
  <c r="J184" i="1"/>
  <c r="K184" i="1" l="1"/>
  <c r="M184" i="1" s="1"/>
  <c r="N196" i="1" s="1"/>
  <c r="O184" i="1"/>
  <c r="D185" i="1" s="1"/>
  <c r="E185" i="1" l="1"/>
  <c r="G185" i="1"/>
  <c r="H185" i="1" s="1"/>
  <c r="I185" i="1" l="1"/>
  <c r="P185" i="1" s="1"/>
  <c r="Q185" i="1" s="1"/>
  <c r="J185" i="1" l="1"/>
  <c r="O185" i="1"/>
  <c r="D186" i="1" s="1"/>
  <c r="K185" i="1"/>
  <c r="M185" i="1" s="1"/>
  <c r="N197" i="1" s="1"/>
  <c r="E186" i="1" l="1"/>
  <c r="G186" i="1"/>
  <c r="H186" i="1" s="1"/>
  <c r="I186" i="1" s="1"/>
  <c r="P186" i="1" l="1"/>
  <c r="Q186" i="1" s="1"/>
  <c r="J186" i="1"/>
  <c r="K186" i="1" l="1"/>
  <c r="M186" i="1" s="1"/>
  <c r="N198" i="1" s="1"/>
  <c r="O186" i="1"/>
  <c r="D187" i="1" s="1"/>
  <c r="E187" i="1" l="1"/>
  <c r="G187" i="1"/>
  <c r="H187" i="1" s="1"/>
  <c r="I187" i="1" l="1"/>
  <c r="P187" i="1" s="1"/>
  <c r="Q187" i="1" s="1"/>
  <c r="J187" i="1"/>
  <c r="K187" i="1" l="1"/>
  <c r="M187" i="1" s="1"/>
  <c r="N199" i="1" s="1"/>
  <c r="O187" i="1"/>
  <c r="D188" i="1" s="1"/>
  <c r="E188" i="1" l="1"/>
  <c r="G188" i="1"/>
  <c r="H188" i="1" s="1"/>
  <c r="I188" i="1" l="1"/>
  <c r="P188" i="1" s="1"/>
  <c r="Q188" i="1" s="1"/>
  <c r="J188" i="1"/>
  <c r="K188" i="1" l="1"/>
  <c r="M188" i="1" s="1"/>
  <c r="N200" i="1" s="1"/>
  <c r="O188" i="1"/>
  <c r="D189" i="1" s="1"/>
  <c r="E189" i="1" l="1"/>
  <c r="G189" i="1"/>
  <c r="H189" i="1" s="1"/>
  <c r="I189" i="1" l="1"/>
  <c r="J189" i="1"/>
  <c r="O189" i="1" l="1"/>
  <c r="D190" i="1" s="1"/>
  <c r="E190" i="1"/>
  <c r="G190" i="1"/>
  <c r="H190" i="1" s="1"/>
  <c r="K189" i="1"/>
  <c r="M189" i="1" s="1"/>
  <c r="N201" i="1" s="1"/>
  <c r="P189" i="1"/>
  <c r="Q189" i="1" s="1"/>
  <c r="I190" i="1" l="1"/>
  <c r="P190" i="1" s="1"/>
  <c r="Q190" i="1" s="1"/>
  <c r="J190" i="1"/>
  <c r="K190" i="1" l="1"/>
  <c r="M190" i="1" s="1"/>
  <c r="N202" i="1" s="1"/>
  <c r="O190" i="1"/>
  <c r="D191" i="1" s="1"/>
  <c r="E191" i="1" l="1"/>
  <c r="G191" i="1"/>
  <c r="H191" i="1" s="1"/>
  <c r="I191" i="1" s="1"/>
  <c r="J191" i="1" l="1"/>
  <c r="P191" i="1"/>
  <c r="Q191" i="1" s="1"/>
  <c r="O191" i="1"/>
  <c r="D192" i="1" s="1"/>
  <c r="E192" i="1" l="1"/>
  <c r="G192" i="1"/>
  <c r="H192" i="1" s="1"/>
  <c r="K191" i="1"/>
  <c r="M191" i="1" s="1"/>
  <c r="N203" i="1" s="1"/>
  <c r="I192" i="1" l="1"/>
  <c r="P192" i="1" s="1"/>
  <c r="Q192" i="1" s="1"/>
  <c r="J192" i="1"/>
  <c r="K192" i="1" l="1"/>
  <c r="M192" i="1" s="1"/>
  <c r="N204" i="1" s="1"/>
  <c r="O192" i="1"/>
  <c r="D193" i="1" s="1"/>
  <c r="E193" i="1" l="1"/>
  <c r="G193" i="1"/>
  <c r="H193" i="1" s="1"/>
  <c r="I193" i="1" l="1"/>
  <c r="P193" i="1" s="1"/>
  <c r="Q193" i="1" s="1"/>
  <c r="J193" i="1"/>
  <c r="K193" i="1" l="1"/>
  <c r="M193" i="1" s="1"/>
  <c r="N205" i="1" s="1"/>
  <c r="O193" i="1"/>
  <c r="D194" i="1" s="1"/>
  <c r="E194" i="1" l="1"/>
  <c r="G194" i="1"/>
  <c r="H194" i="1" s="1"/>
  <c r="I194" i="1" l="1"/>
  <c r="P194" i="1" s="1"/>
  <c r="Q194" i="1" s="1"/>
  <c r="J194" i="1"/>
  <c r="O194" i="1" s="1"/>
  <c r="D195" i="1" s="1"/>
  <c r="E195" i="1" l="1"/>
  <c r="G195" i="1"/>
  <c r="H195" i="1" s="1"/>
  <c r="K194" i="1"/>
  <c r="M194" i="1" s="1"/>
  <c r="N206" i="1" s="1"/>
  <c r="I195" i="1" l="1"/>
  <c r="P195" i="1" s="1"/>
  <c r="Q195" i="1" s="1"/>
  <c r="J195" i="1"/>
  <c r="O195" i="1" s="1"/>
  <c r="D196" i="1" s="1"/>
  <c r="E196" i="1" l="1"/>
  <c r="G196" i="1"/>
  <c r="H196" i="1" s="1"/>
  <c r="K195" i="1"/>
  <c r="M195" i="1" s="1"/>
  <c r="N207" i="1" s="1"/>
  <c r="I196" i="1" l="1"/>
  <c r="P196" i="1" s="1"/>
  <c r="Q196" i="1" s="1"/>
  <c r="J196" i="1"/>
  <c r="K196" i="1" l="1"/>
  <c r="M196" i="1" s="1"/>
  <c r="N208" i="1" s="1"/>
  <c r="O196" i="1"/>
  <c r="D197" i="1" s="1"/>
  <c r="E197" i="1" l="1"/>
  <c r="G197" i="1"/>
  <c r="H197" i="1" s="1"/>
  <c r="I197" i="1" l="1"/>
  <c r="P197" i="1" s="1"/>
  <c r="Q197" i="1" s="1"/>
  <c r="J197" i="1"/>
  <c r="O197" i="1" s="1"/>
  <c r="D198" i="1" s="1"/>
  <c r="E198" i="1" l="1"/>
  <c r="G198" i="1"/>
  <c r="H198" i="1" s="1"/>
  <c r="K197" i="1"/>
  <c r="M197" i="1" s="1"/>
  <c r="N209" i="1" s="1"/>
  <c r="I198" i="1" l="1"/>
  <c r="P198" i="1" s="1"/>
  <c r="Q198" i="1" s="1"/>
  <c r="J198" i="1"/>
  <c r="K198" i="1" l="1"/>
  <c r="M198" i="1" s="1"/>
  <c r="N210" i="1" s="1"/>
  <c r="O198" i="1"/>
  <c r="D199" i="1" s="1"/>
  <c r="E199" i="1" l="1"/>
  <c r="G199" i="1"/>
  <c r="H199" i="1" s="1"/>
  <c r="I199" i="1" s="1"/>
  <c r="P199" i="1" l="1"/>
  <c r="Q199" i="1" s="1"/>
  <c r="J199" i="1"/>
  <c r="K199" i="1" l="1"/>
  <c r="M199" i="1" s="1"/>
  <c r="N211" i="1" s="1"/>
  <c r="O199" i="1"/>
  <c r="D200" i="1" s="1"/>
  <c r="E200" i="1" l="1"/>
  <c r="G200" i="1"/>
  <c r="H200" i="1" s="1"/>
  <c r="I200" i="1" s="1"/>
  <c r="P200" i="1" l="1"/>
  <c r="Q200" i="1" s="1"/>
  <c r="J200" i="1"/>
  <c r="K200" i="1" l="1"/>
  <c r="M200" i="1" s="1"/>
  <c r="N212" i="1" s="1"/>
  <c r="O200" i="1"/>
  <c r="D201" i="1" s="1"/>
  <c r="E201" i="1" l="1"/>
  <c r="G201" i="1"/>
  <c r="H201" i="1" s="1"/>
  <c r="I201" i="1" l="1"/>
  <c r="P201" i="1" s="1"/>
  <c r="Q201" i="1" s="1"/>
  <c r="J201" i="1"/>
  <c r="K201" i="1" l="1"/>
  <c r="M201" i="1" s="1"/>
  <c r="N213" i="1" s="1"/>
  <c r="O201" i="1"/>
  <c r="D202" i="1" s="1"/>
  <c r="E202" i="1" l="1"/>
  <c r="G202" i="1"/>
  <c r="H202" i="1" s="1"/>
  <c r="I202" i="1" l="1"/>
  <c r="P202" i="1" s="1"/>
  <c r="Q202" i="1" s="1"/>
  <c r="J202" i="1"/>
  <c r="K202" i="1" l="1"/>
  <c r="M202" i="1" s="1"/>
  <c r="N214" i="1" s="1"/>
  <c r="O202" i="1"/>
  <c r="D203" i="1" s="1"/>
  <c r="E203" i="1" l="1"/>
  <c r="G203" i="1"/>
  <c r="H203" i="1" s="1"/>
  <c r="I203" i="1" s="1"/>
  <c r="P203" i="1" l="1"/>
  <c r="Q203" i="1" s="1"/>
  <c r="J203" i="1"/>
  <c r="K203" i="1" l="1"/>
  <c r="M203" i="1" s="1"/>
  <c r="N215" i="1" s="1"/>
  <c r="O203" i="1"/>
  <c r="D204" i="1" s="1"/>
  <c r="E204" i="1" l="1"/>
  <c r="G204" i="1"/>
  <c r="H204" i="1" s="1"/>
  <c r="I204" i="1" s="1"/>
  <c r="P204" i="1" l="1"/>
  <c r="Q204" i="1" s="1"/>
  <c r="J204" i="1"/>
  <c r="O204" i="1" s="1"/>
  <c r="D205" i="1" s="1"/>
  <c r="E205" i="1" l="1"/>
  <c r="G205" i="1"/>
  <c r="H205" i="1" s="1"/>
  <c r="K204" i="1"/>
  <c r="M204" i="1" s="1"/>
  <c r="N216" i="1" s="1"/>
  <c r="I205" i="1" l="1"/>
  <c r="P205" i="1" s="1"/>
  <c r="Q205" i="1" s="1"/>
  <c r="J205" i="1" l="1"/>
  <c r="O205" i="1" s="1"/>
  <c r="D206" i="1" s="1"/>
  <c r="E206" i="1" s="1"/>
  <c r="G206" i="1"/>
  <c r="K205" i="1"/>
  <c r="M205" i="1" s="1"/>
  <c r="N217" i="1" s="1"/>
  <c r="H206" i="1" l="1"/>
  <c r="I206" i="1" s="1"/>
  <c r="P206" i="1"/>
  <c r="Q206" i="1" s="1"/>
  <c r="J206" i="1"/>
  <c r="K206" i="1" l="1"/>
  <c r="M206" i="1" s="1"/>
  <c r="N218" i="1" s="1"/>
  <c r="O206" i="1"/>
  <c r="D207" i="1" s="1"/>
  <c r="E207" i="1" l="1"/>
  <c r="G207" i="1"/>
  <c r="H207" i="1" s="1"/>
  <c r="I207" i="1" l="1"/>
  <c r="J207" i="1" s="1"/>
  <c r="K207" i="1" l="1"/>
  <c r="M207" i="1" s="1"/>
  <c r="N219" i="1" s="1"/>
  <c r="O207" i="1"/>
  <c r="D208" i="1" s="1"/>
  <c r="P207" i="1"/>
  <c r="Q207" i="1" s="1"/>
  <c r="E208" i="1" l="1"/>
  <c r="G208" i="1"/>
  <c r="H208" i="1" s="1"/>
  <c r="I208" i="1" l="1"/>
  <c r="J208" i="1" s="1"/>
  <c r="O208" i="1" s="1"/>
  <c r="D209" i="1" s="1"/>
  <c r="P208" i="1" l="1"/>
  <c r="Q208" i="1" s="1"/>
  <c r="E209" i="1"/>
  <c r="G209" i="1"/>
  <c r="H209" i="1" s="1"/>
  <c r="K208" i="1"/>
  <c r="M208" i="1" s="1"/>
  <c r="N220" i="1" s="1"/>
  <c r="I209" i="1" l="1"/>
  <c r="J209" i="1" s="1"/>
  <c r="P209" i="1"/>
  <c r="Q209" i="1" s="1"/>
  <c r="K209" i="1" l="1"/>
  <c r="M209" i="1" s="1"/>
  <c r="N221" i="1" s="1"/>
  <c r="O209" i="1"/>
  <c r="D210" i="1" s="1"/>
  <c r="E210" i="1" l="1"/>
  <c r="G210" i="1"/>
  <c r="H210" i="1" s="1"/>
  <c r="I210" i="1" l="1"/>
  <c r="J210" i="1" l="1"/>
  <c r="O210" i="1" s="1"/>
  <c r="D211" i="1" s="1"/>
  <c r="P210" i="1"/>
  <c r="Q210" i="1" s="1"/>
  <c r="K210" i="1"/>
  <c r="M210" i="1" s="1"/>
  <c r="N222" i="1" s="1"/>
  <c r="E211" i="1" l="1"/>
  <c r="G211" i="1"/>
  <c r="H211" i="1" s="1"/>
  <c r="I211" i="1" s="1"/>
  <c r="P211" i="1" s="1"/>
  <c r="Q211" i="1" s="1"/>
  <c r="J211" i="1"/>
  <c r="O211" i="1" s="1"/>
  <c r="D212" i="1" s="1"/>
  <c r="E212" i="1" l="1"/>
  <c r="G212" i="1"/>
  <c r="H212" i="1" s="1"/>
  <c r="K211" i="1"/>
  <c r="M211" i="1" s="1"/>
  <c r="N223" i="1" s="1"/>
  <c r="I212" i="1" l="1"/>
  <c r="P212" i="1" s="1"/>
  <c r="Q212" i="1" s="1"/>
  <c r="J212" i="1" l="1"/>
  <c r="O212" i="1" s="1"/>
  <c r="D213" i="1" s="1"/>
  <c r="E213" i="1" s="1"/>
  <c r="G213" i="1"/>
  <c r="K212" i="1"/>
  <c r="M212" i="1" s="1"/>
  <c r="N224" i="1" s="1"/>
  <c r="H213" i="1" l="1"/>
  <c r="I213" i="1" s="1"/>
  <c r="P213" i="1"/>
  <c r="Q213" i="1" s="1"/>
  <c r="J213" i="1"/>
  <c r="K213" i="1" l="1"/>
  <c r="M213" i="1" s="1"/>
  <c r="N225" i="1" s="1"/>
  <c r="O213" i="1"/>
  <c r="D214" i="1" s="1"/>
  <c r="E214" i="1" l="1"/>
  <c r="G214" i="1"/>
  <c r="H214" i="1" s="1"/>
  <c r="I214" i="1" s="1"/>
  <c r="P214" i="1" l="1"/>
  <c r="Q214" i="1" s="1"/>
  <c r="J214" i="1"/>
  <c r="O214" i="1" s="1"/>
  <c r="D215" i="1" s="1"/>
  <c r="E215" i="1" l="1"/>
  <c r="G215" i="1"/>
  <c r="H215" i="1" s="1"/>
  <c r="K214" i="1"/>
  <c r="M214" i="1" s="1"/>
  <c r="N226" i="1" s="1"/>
  <c r="I215" i="1" l="1"/>
  <c r="P215" i="1" s="1"/>
  <c r="Q215" i="1" s="1"/>
  <c r="J215" i="1"/>
  <c r="K215" i="1" l="1"/>
  <c r="M215" i="1" s="1"/>
  <c r="N227" i="1" s="1"/>
  <c r="O215" i="1"/>
  <c r="D216" i="1" s="1"/>
  <c r="E216" i="1" l="1"/>
  <c r="G216" i="1"/>
  <c r="H216" i="1" s="1"/>
  <c r="I216" i="1" l="1"/>
  <c r="P216" i="1" s="1"/>
  <c r="Q216" i="1" s="1"/>
  <c r="J216" i="1"/>
  <c r="O216" i="1" s="1"/>
  <c r="D217" i="1" s="1"/>
  <c r="E217" i="1" l="1"/>
  <c r="G217" i="1"/>
  <c r="H217" i="1" s="1"/>
  <c r="I217" i="1" s="1"/>
  <c r="K216" i="1"/>
  <c r="M216" i="1" s="1"/>
  <c r="N228" i="1" s="1"/>
  <c r="P217" i="1" l="1"/>
  <c r="Q217" i="1" s="1"/>
  <c r="J217" i="1"/>
  <c r="K217" i="1" l="1"/>
  <c r="M217" i="1" s="1"/>
  <c r="N229" i="1" s="1"/>
  <c r="O217" i="1"/>
  <c r="D218" i="1" s="1"/>
  <c r="E218" i="1" l="1"/>
  <c r="G218" i="1"/>
  <c r="H218" i="1" s="1"/>
  <c r="I218" i="1" l="1"/>
  <c r="P218" i="1" s="1"/>
  <c r="Q218" i="1" s="1"/>
  <c r="J218" i="1" l="1"/>
  <c r="O218" i="1" s="1"/>
  <c r="D219" i="1" s="1"/>
  <c r="E219" i="1" s="1"/>
  <c r="K218" i="1"/>
  <c r="M218" i="1" s="1"/>
  <c r="N230" i="1" s="1"/>
  <c r="G219" i="1" l="1"/>
  <c r="H219" i="1" s="1"/>
  <c r="I219" i="1" s="1"/>
  <c r="P219" i="1" l="1"/>
  <c r="Q219" i="1" s="1"/>
  <c r="J219" i="1"/>
  <c r="K219" i="1" s="1"/>
  <c r="M219" i="1" s="1"/>
  <c r="N231" i="1" s="1"/>
  <c r="O219" i="1" l="1"/>
  <c r="D220" i="1" s="1"/>
  <c r="E220" i="1"/>
  <c r="G220" i="1"/>
  <c r="H220" i="1" s="1"/>
  <c r="J220" i="1" l="1"/>
  <c r="I220" i="1"/>
  <c r="P220" i="1" s="1"/>
  <c r="Q220" i="1" s="1"/>
  <c r="O220" i="1" l="1"/>
  <c r="D221" i="1" s="1"/>
  <c r="K220" i="1"/>
  <c r="M220" i="1" s="1"/>
  <c r="N232" i="1" s="1"/>
  <c r="E221" i="1" l="1"/>
  <c r="G221" i="1"/>
  <c r="H221" i="1" s="1"/>
  <c r="I221" i="1" l="1"/>
  <c r="P221" i="1" s="1"/>
  <c r="Q221" i="1" s="1"/>
  <c r="J221" i="1" l="1"/>
  <c r="O221" i="1" s="1"/>
  <c r="D222" i="1" s="1"/>
  <c r="K221" i="1" l="1"/>
  <c r="M221" i="1" s="1"/>
  <c r="N233" i="1" s="1"/>
  <c r="E222" i="1"/>
  <c r="G222" i="1"/>
  <c r="H222" i="1" s="1"/>
  <c r="I222" i="1" l="1"/>
  <c r="P222" i="1" s="1"/>
  <c r="Q222" i="1" s="1"/>
  <c r="J222" i="1"/>
  <c r="K222" i="1" l="1"/>
  <c r="M222" i="1" s="1"/>
  <c r="N234" i="1" s="1"/>
  <c r="O222" i="1"/>
  <c r="D223" i="1" s="1"/>
  <c r="E223" i="1" l="1"/>
  <c r="G223" i="1"/>
  <c r="H223" i="1" s="1"/>
  <c r="I223" i="1" l="1"/>
  <c r="J223" i="1"/>
  <c r="O223" i="1" l="1"/>
  <c r="D224" i="1" s="1"/>
  <c r="E224" i="1"/>
  <c r="G224" i="1"/>
  <c r="H224" i="1" s="1"/>
  <c r="K223" i="1"/>
  <c r="M223" i="1" s="1"/>
  <c r="N235" i="1" s="1"/>
  <c r="P223" i="1"/>
  <c r="Q223" i="1" s="1"/>
  <c r="I224" i="1" l="1"/>
  <c r="P224" i="1" s="1"/>
  <c r="Q224" i="1" s="1"/>
  <c r="J224" i="1"/>
  <c r="K224" i="1" l="1"/>
  <c r="M224" i="1" s="1"/>
  <c r="N236" i="1" s="1"/>
  <c r="O224" i="1"/>
  <c r="D225" i="1" s="1"/>
  <c r="E225" i="1" l="1"/>
  <c r="G225" i="1"/>
  <c r="H225" i="1" s="1"/>
  <c r="I225" i="1" s="1"/>
  <c r="P225" i="1" l="1"/>
  <c r="Q225" i="1" s="1"/>
  <c r="J225" i="1"/>
  <c r="K225" i="1" l="1"/>
  <c r="M225" i="1" s="1"/>
  <c r="N237" i="1" s="1"/>
  <c r="O225" i="1"/>
  <c r="D226" i="1" s="1"/>
  <c r="E226" i="1" l="1"/>
  <c r="G226" i="1"/>
  <c r="H226" i="1" s="1"/>
  <c r="I226" i="1" l="1"/>
  <c r="P226" i="1" s="1"/>
  <c r="Q226" i="1" s="1"/>
  <c r="J226" i="1"/>
  <c r="O226" i="1" l="1"/>
  <c r="D227" i="1" s="1"/>
  <c r="K226" i="1"/>
  <c r="M226" i="1" s="1"/>
  <c r="N238" i="1" s="1"/>
  <c r="E227" i="1" l="1"/>
  <c r="G227" i="1"/>
  <c r="H227" i="1" s="1"/>
  <c r="I227" i="1" s="1"/>
  <c r="P227" i="1" l="1"/>
  <c r="Q227" i="1" s="1"/>
  <c r="J227" i="1"/>
  <c r="O227" i="1" s="1"/>
  <c r="D228" i="1" s="1"/>
  <c r="E228" i="1" l="1"/>
  <c r="G228" i="1"/>
  <c r="H228" i="1" s="1"/>
  <c r="K227" i="1"/>
  <c r="M227" i="1" s="1"/>
  <c r="N239" i="1" s="1"/>
  <c r="J228" i="1" l="1"/>
  <c r="I228" i="1"/>
  <c r="P228" i="1" s="1"/>
  <c r="Q228" i="1" s="1"/>
  <c r="K228" i="1" l="1"/>
  <c r="M228" i="1" s="1"/>
  <c r="N240" i="1" s="1"/>
  <c r="O228" i="1"/>
  <c r="D229" i="1" s="1"/>
  <c r="E229" i="1" l="1"/>
  <c r="G229" i="1"/>
  <c r="H229" i="1" s="1"/>
  <c r="I229" i="1" l="1"/>
  <c r="J229" i="1" s="1"/>
  <c r="K229" i="1" l="1"/>
  <c r="M229" i="1" s="1"/>
  <c r="N241" i="1" s="1"/>
  <c r="O229" i="1"/>
  <c r="D230" i="1" s="1"/>
  <c r="P229" i="1"/>
  <c r="Q229" i="1" s="1"/>
  <c r="E230" i="1" l="1"/>
  <c r="G230" i="1"/>
  <c r="H230" i="1" s="1"/>
  <c r="I230" i="1" l="1"/>
  <c r="P230" i="1" s="1"/>
  <c r="Q230" i="1" s="1"/>
  <c r="J230" i="1"/>
  <c r="O230" i="1" s="1"/>
  <c r="D231" i="1" s="1"/>
  <c r="E231" i="1" l="1"/>
  <c r="G231" i="1"/>
  <c r="H231" i="1" s="1"/>
  <c r="K230" i="1"/>
  <c r="M230" i="1" s="1"/>
  <c r="N242" i="1" s="1"/>
  <c r="I231" i="1" l="1"/>
  <c r="J231" i="1"/>
  <c r="O231" i="1" l="1"/>
  <c r="D232" i="1" s="1"/>
  <c r="E232" i="1"/>
  <c r="G232" i="1"/>
  <c r="H232" i="1" s="1"/>
  <c r="K231" i="1"/>
  <c r="M231" i="1" s="1"/>
  <c r="N243" i="1" s="1"/>
  <c r="P231" i="1"/>
  <c r="Q231" i="1" s="1"/>
  <c r="I232" i="1" l="1"/>
  <c r="J232" i="1" s="1"/>
  <c r="O232" i="1" s="1"/>
  <c r="D233" i="1" s="1"/>
  <c r="E233" i="1" l="1"/>
  <c r="G233" i="1"/>
  <c r="H233" i="1" s="1"/>
  <c r="K232" i="1"/>
  <c r="M232" i="1" s="1"/>
  <c r="N244" i="1" s="1"/>
  <c r="P232" i="1"/>
  <c r="Q232" i="1" s="1"/>
  <c r="I233" i="1" l="1"/>
  <c r="J233" i="1" s="1"/>
  <c r="K233" i="1" l="1"/>
  <c r="M233" i="1" s="1"/>
  <c r="N245" i="1" s="1"/>
  <c r="O233" i="1"/>
  <c r="D234" i="1" s="1"/>
  <c r="P233" i="1"/>
  <c r="Q233" i="1" s="1"/>
  <c r="E234" i="1" l="1"/>
  <c r="G234" i="1"/>
  <c r="H234" i="1" s="1"/>
  <c r="I234" i="1" l="1"/>
  <c r="P234" i="1" s="1"/>
  <c r="Q234" i="1" s="1"/>
  <c r="J234" i="1"/>
  <c r="K234" i="1" l="1"/>
  <c r="M234" i="1" s="1"/>
  <c r="N246" i="1" s="1"/>
  <c r="O234" i="1"/>
  <c r="D235" i="1" s="1"/>
  <c r="E235" i="1" l="1"/>
  <c r="G235" i="1"/>
  <c r="H235" i="1" s="1"/>
  <c r="I235" i="1" l="1"/>
  <c r="P235" i="1" s="1"/>
  <c r="Q235" i="1" s="1"/>
  <c r="J235" i="1"/>
  <c r="K235" i="1" l="1"/>
  <c r="M235" i="1" s="1"/>
  <c r="N247" i="1" s="1"/>
  <c r="O235" i="1"/>
  <c r="D236" i="1" s="1"/>
  <c r="E236" i="1" l="1"/>
  <c r="G236" i="1"/>
  <c r="H236" i="1" s="1"/>
  <c r="I236" i="1" l="1"/>
  <c r="P236" i="1" s="1"/>
  <c r="Q236" i="1" s="1"/>
  <c r="J236" i="1"/>
  <c r="O236" i="1" l="1"/>
  <c r="D237" i="1" s="1"/>
  <c r="K236" i="1"/>
  <c r="M236" i="1" s="1"/>
  <c r="N248" i="1" s="1"/>
  <c r="E237" i="1" l="1"/>
  <c r="G237" i="1"/>
  <c r="H237" i="1" s="1"/>
  <c r="J237" i="1" l="1"/>
  <c r="I237" i="1"/>
  <c r="P237" i="1" s="1"/>
  <c r="Q237" i="1" s="1"/>
  <c r="O237" i="1" l="1"/>
  <c r="D238" i="1" s="1"/>
  <c r="K237" i="1"/>
  <c r="M237" i="1" s="1"/>
  <c r="N249" i="1" s="1"/>
  <c r="E238" i="1" l="1"/>
  <c r="G238" i="1"/>
  <c r="H238" i="1" s="1"/>
  <c r="I238" i="1" s="1"/>
  <c r="P238" i="1" l="1"/>
  <c r="Q238" i="1" s="1"/>
  <c r="J238" i="1"/>
  <c r="O238" i="1" s="1"/>
  <c r="D239" i="1" s="1"/>
  <c r="E239" i="1" l="1"/>
  <c r="G239" i="1"/>
  <c r="H239" i="1" s="1"/>
  <c r="K238" i="1"/>
  <c r="M238" i="1" s="1"/>
  <c r="N250" i="1" s="1"/>
  <c r="I239" i="1" l="1"/>
  <c r="P239" i="1" s="1"/>
  <c r="Q239" i="1" s="1"/>
  <c r="J239" i="1"/>
  <c r="O239" i="1" l="1"/>
  <c r="D240" i="1" s="1"/>
  <c r="K239" i="1"/>
  <c r="M239" i="1" s="1"/>
  <c r="N251" i="1" s="1"/>
  <c r="E240" i="1" l="1"/>
  <c r="G240" i="1"/>
  <c r="H240" i="1" s="1"/>
  <c r="I240" i="1" s="1"/>
  <c r="P240" i="1" l="1"/>
  <c r="Q240" i="1" s="1"/>
  <c r="J240" i="1"/>
  <c r="O240" i="1" s="1"/>
  <c r="D241" i="1" s="1"/>
  <c r="E241" i="1" l="1"/>
  <c r="G241" i="1"/>
  <c r="H241" i="1" s="1"/>
  <c r="K240" i="1"/>
  <c r="M240" i="1" s="1"/>
  <c r="N252" i="1" s="1"/>
  <c r="I241" i="1" l="1"/>
  <c r="J241" i="1" s="1"/>
  <c r="O241" i="1" s="1"/>
  <c r="D242" i="1" s="1"/>
  <c r="E242" i="1" l="1"/>
  <c r="G242" i="1"/>
  <c r="H242" i="1" s="1"/>
  <c r="I242" i="1" s="1"/>
  <c r="K241" i="1"/>
  <c r="M241" i="1" s="1"/>
  <c r="N253" i="1" s="1"/>
  <c r="P241" i="1"/>
  <c r="Q241" i="1" s="1"/>
  <c r="P242" i="1" l="1"/>
  <c r="Q242" i="1" s="1"/>
  <c r="J242" i="1"/>
  <c r="K242" i="1" l="1"/>
  <c r="M242" i="1" s="1"/>
  <c r="N254" i="1" s="1"/>
  <c r="O242" i="1"/>
  <c r="D243" i="1" s="1"/>
  <c r="E243" i="1" l="1"/>
  <c r="G243" i="1"/>
  <c r="H243" i="1" s="1"/>
  <c r="I243" i="1" s="1"/>
  <c r="P243" i="1" l="1"/>
  <c r="Q243" i="1" s="1"/>
  <c r="J243" i="1"/>
  <c r="K243" i="1" l="1"/>
  <c r="M243" i="1" s="1"/>
  <c r="N255" i="1" s="1"/>
  <c r="O243" i="1"/>
  <c r="D244" i="1" s="1"/>
  <c r="E244" i="1" l="1"/>
  <c r="G244" i="1"/>
  <c r="H244" i="1" s="1"/>
  <c r="I244" i="1" l="1"/>
  <c r="P244" i="1" s="1"/>
  <c r="Q244" i="1" s="1"/>
  <c r="J244" i="1"/>
  <c r="O244" i="1" s="1"/>
  <c r="D245" i="1" s="1"/>
  <c r="E245" i="1" l="1"/>
  <c r="G245" i="1"/>
  <c r="H245" i="1" s="1"/>
  <c r="K244" i="1"/>
  <c r="M244" i="1" s="1"/>
  <c r="N256" i="1" s="1"/>
  <c r="I245" i="1" l="1"/>
  <c r="J245" i="1" s="1"/>
  <c r="O245" i="1" l="1"/>
  <c r="D246" i="1" s="1"/>
  <c r="K245" i="1"/>
  <c r="M245" i="1" s="1"/>
  <c r="N257" i="1" s="1"/>
  <c r="P245" i="1"/>
  <c r="Q245" i="1" s="1"/>
  <c r="E246" i="1" l="1"/>
  <c r="G246" i="1"/>
  <c r="H246" i="1" s="1"/>
  <c r="I246" i="1" l="1"/>
  <c r="J246" i="1" s="1"/>
  <c r="O246" i="1" l="1"/>
  <c r="D247" i="1" s="1"/>
  <c r="K246" i="1"/>
  <c r="M246" i="1" s="1"/>
  <c r="N258" i="1" s="1"/>
  <c r="P246" i="1"/>
  <c r="Q246" i="1" s="1"/>
  <c r="E247" i="1" l="1"/>
  <c r="G247" i="1"/>
  <c r="H247" i="1" s="1"/>
  <c r="I247" i="1" l="1"/>
  <c r="P247" i="1" s="1"/>
  <c r="Q247" i="1" s="1"/>
  <c r="J247" i="1"/>
  <c r="K247" i="1" l="1"/>
  <c r="M247" i="1" s="1"/>
  <c r="N259" i="1" s="1"/>
  <c r="O247" i="1"/>
  <c r="D248" i="1" s="1"/>
  <c r="E248" i="1" l="1"/>
  <c r="G248" i="1"/>
  <c r="H248" i="1" s="1"/>
  <c r="I248" i="1" s="1"/>
  <c r="P248" i="1" l="1"/>
  <c r="Q248" i="1" s="1"/>
  <c r="J248" i="1"/>
  <c r="O248" i="1" s="1"/>
  <c r="D249" i="1" s="1"/>
  <c r="E249" i="1" l="1"/>
  <c r="G249" i="1"/>
  <c r="H249" i="1" s="1"/>
  <c r="K248" i="1"/>
  <c r="M248" i="1" s="1"/>
  <c r="N260" i="1" s="1"/>
  <c r="I249" i="1" l="1"/>
  <c r="P249" i="1" s="1"/>
  <c r="Q249" i="1" s="1"/>
  <c r="J249" i="1"/>
  <c r="K249" i="1" l="1"/>
  <c r="M249" i="1" s="1"/>
  <c r="N261" i="1" s="1"/>
  <c r="O249" i="1"/>
  <c r="D250" i="1" s="1"/>
  <c r="E250" i="1" l="1"/>
  <c r="G250" i="1"/>
  <c r="H250" i="1" s="1"/>
  <c r="I250" i="1" s="1"/>
  <c r="P250" i="1" l="1"/>
  <c r="Q250" i="1" s="1"/>
  <c r="J250" i="1"/>
  <c r="K250" i="1" l="1"/>
  <c r="M250" i="1" s="1"/>
  <c r="N262" i="1" s="1"/>
  <c r="O250" i="1"/>
  <c r="D251" i="1" s="1"/>
  <c r="E251" i="1" l="1"/>
  <c r="G251" i="1"/>
  <c r="H251" i="1" s="1"/>
  <c r="I251" i="1" l="1"/>
  <c r="P251" i="1" s="1"/>
  <c r="Q251" i="1" s="1"/>
  <c r="J251" i="1"/>
  <c r="K251" i="1" l="1"/>
  <c r="M251" i="1" s="1"/>
  <c r="N263" i="1" s="1"/>
  <c r="O251" i="1"/>
  <c r="D252" i="1" s="1"/>
  <c r="E252" i="1" l="1"/>
  <c r="G252" i="1"/>
  <c r="H252" i="1" s="1"/>
  <c r="I252" i="1" s="1"/>
  <c r="P252" i="1" l="1"/>
  <c r="Q252" i="1" s="1"/>
  <c r="J252" i="1"/>
  <c r="O252" i="1" s="1"/>
  <c r="D253" i="1" s="1"/>
  <c r="E253" i="1" l="1"/>
  <c r="G253" i="1"/>
  <c r="H253" i="1" s="1"/>
  <c r="K252" i="1"/>
  <c r="M252" i="1" s="1"/>
  <c r="N264" i="1" s="1"/>
  <c r="I253" i="1" l="1"/>
  <c r="P253" i="1" s="1"/>
  <c r="Q253" i="1" s="1"/>
  <c r="J253" i="1"/>
  <c r="O253" i="1" s="1"/>
  <c r="D254" i="1" s="1"/>
  <c r="E254" i="1" l="1"/>
  <c r="G254" i="1"/>
  <c r="H254" i="1" s="1"/>
  <c r="K253" i="1"/>
  <c r="M253" i="1" s="1"/>
  <c r="N265" i="1" s="1"/>
  <c r="I254" i="1" l="1"/>
  <c r="P254" i="1" s="1"/>
  <c r="Q254" i="1" s="1"/>
  <c r="J254" i="1"/>
  <c r="K254" i="1" l="1"/>
  <c r="M254" i="1" s="1"/>
  <c r="N266" i="1" s="1"/>
  <c r="O254" i="1"/>
  <c r="D255" i="1" s="1"/>
  <c r="E255" i="1" l="1"/>
  <c r="G255" i="1"/>
  <c r="H255" i="1" s="1"/>
  <c r="I255" i="1" s="1"/>
  <c r="P255" i="1" l="1"/>
  <c r="Q255" i="1" s="1"/>
  <c r="J255" i="1"/>
  <c r="K255" i="1" l="1"/>
  <c r="M255" i="1" s="1"/>
  <c r="N267" i="1" s="1"/>
  <c r="O255" i="1"/>
  <c r="D256" i="1" s="1"/>
  <c r="E256" i="1" l="1"/>
  <c r="G256" i="1"/>
  <c r="H256" i="1" s="1"/>
  <c r="I256" i="1" s="1"/>
  <c r="P256" i="1" l="1"/>
  <c r="Q256" i="1" s="1"/>
  <c r="J256" i="1"/>
  <c r="O256" i="1" s="1"/>
  <c r="D257" i="1" s="1"/>
  <c r="E257" i="1" l="1"/>
  <c r="G257" i="1"/>
  <c r="H257" i="1" s="1"/>
  <c r="K256" i="1"/>
  <c r="M256" i="1" s="1"/>
  <c r="N268" i="1" s="1"/>
  <c r="I257" i="1" l="1"/>
  <c r="P257" i="1" s="1"/>
  <c r="Q257" i="1" s="1"/>
  <c r="J257" i="1"/>
  <c r="K257" i="1" l="1"/>
  <c r="M257" i="1" s="1"/>
  <c r="N269" i="1" s="1"/>
  <c r="O257" i="1"/>
  <c r="D258" i="1" s="1"/>
  <c r="E258" i="1" l="1"/>
  <c r="G258" i="1"/>
  <c r="H258" i="1" s="1"/>
  <c r="I258" i="1" l="1"/>
  <c r="P258" i="1" s="1"/>
  <c r="Q258" i="1" s="1"/>
  <c r="J258" i="1"/>
  <c r="K258" i="1" l="1"/>
  <c r="M258" i="1" s="1"/>
  <c r="N270" i="1" s="1"/>
  <c r="O258" i="1"/>
  <c r="D259" i="1" s="1"/>
  <c r="E259" i="1" l="1"/>
  <c r="G259" i="1"/>
  <c r="H259" i="1" s="1"/>
  <c r="I259" i="1" s="1"/>
  <c r="P259" i="1" l="1"/>
  <c r="Q259" i="1" s="1"/>
  <c r="J259" i="1"/>
  <c r="K259" i="1" l="1"/>
  <c r="M259" i="1" s="1"/>
  <c r="N271" i="1" s="1"/>
  <c r="O259" i="1"/>
  <c r="D260" i="1" s="1"/>
  <c r="E260" i="1" l="1"/>
  <c r="G260" i="1"/>
  <c r="H260" i="1" s="1"/>
  <c r="I260" i="1" s="1"/>
  <c r="P260" i="1" l="1"/>
  <c r="Q260" i="1" s="1"/>
  <c r="J260" i="1"/>
  <c r="K260" i="1" l="1"/>
  <c r="M260" i="1" s="1"/>
  <c r="N272" i="1" s="1"/>
  <c r="O260" i="1"/>
  <c r="D261" i="1" s="1"/>
  <c r="E261" i="1" l="1"/>
  <c r="G261" i="1"/>
  <c r="H261" i="1" s="1"/>
  <c r="I261" i="1" l="1"/>
  <c r="P261" i="1" s="1"/>
  <c r="Q261" i="1" s="1"/>
  <c r="J261" i="1"/>
  <c r="K261" i="1" l="1"/>
  <c r="M261" i="1" s="1"/>
  <c r="N273" i="1" s="1"/>
  <c r="O261" i="1"/>
  <c r="D262" i="1" s="1"/>
  <c r="E262" i="1" l="1"/>
  <c r="G262" i="1"/>
  <c r="H262" i="1" s="1"/>
  <c r="I262" i="1" l="1"/>
  <c r="J262" i="1"/>
  <c r="O262" i="1" l="1"/>
  <c r="D263" i="1" s="1"/>
  <c r="E263" i="1"/>
  <c r="G263" i="1"/>
  <c r="H263" i="1" s="1"/>
  <c r="K262" i="1"/>
  <c r="M262" i="1" s="1"/>
  <c r="N274" i="1" s="1"/>
  <c r="P262" i="1"/>
  <c r="Q262" i="1" s="1"/>
  <c r="I263" i="1" l="1"/>
  <c r="P263" i="1" s="1"/>
  <c r="Q263" i="1" s="1"/>
  <c r="J263" i="1"/>
  <c r="O263" i="1" s="1"/>
  <c r="D264" i="1" s="1"/>
  <c r="E264" i="1" l="1"/>
  <c r="G264" i="1"/>
  <c r="H264" i="1" s="1"/>
  <c r="K263" i="1"/>
  <c r="M263" i="1" s="1"/>
  <c r="N275" i="1" s="1"/>
  <c r="I264" i="1" l="1"/>
  <c r="P264" i="1" s="1"/>
  <c r="Q264" i="1" s="1"/>
  <c r="J264" i="1"/>
  <c r="K264" i="1" l="1"/>
  <c r="M264" i="1" s="1"/>
  <c r="N276" i="1" s="1"/>
  <c r="O264" i="1"/>
  <c r="D265" i="1" s="1"/>
  <c r="E265" i="1" l="1"/>
  <c r="G265" i="1"/>
  <c r="H265" i="1" s="1"/>
  <c r="I265" i="1" l="1"/>
  <c r="J265" i="1" s="1"/>
  <c r="O265" i="1" s="1"/>
  <c r="D266" i="1" s="1"/>
  <c r="E266" i="1" l="1"/>
  <c r="G266" i="1"/>
  <c r="H266" i="1" s="1"/>
  <c r="K265" i="1"/>
  <c r="M265" i="1" s="1"/>
  <c r="N277" i="1" s="1"/>
  <c r="P265" i="1"/>
  <c r="Q265" i="1" s="1"/>
  <c r="I266" i="1" l="1"/>
  <c r="P266" i="1" s="1"/>
  <c r="Q266" i="1" s="1"/>
  <c r="J266" i="1"/>
  <c r="K266" i="1" l="1"/>
  <c r="M266" i="1" s="1"/>
  <c r="N278" i="1" s="1"/>
  <c r="O266" i="1"/>
  <c r="D267" i="1" s="1"/>
  <c r="E267" i="1" l="1"/>
  <c r="G267" i="1"/>
  <c r="H267" i="1" s="1"/>
  <c r="I267" i="1" l="1"/>
  <c r="P267" i="1" s="1"/>
  <c r="Q267" i="1" s="1"/>
  <c r="J267" i="1"/>
  <c r="O267" i="1" s="1"/>
  <c r="D268" i="1" s="1"/>
  <c r="E268" i="1" l="1"/>
  <c r="G268" i="1"/>
  <c r="H268" i="1" s="1"/>
  <c r="K267" i="1"/>
  <c r="M267" i="1" s="1"/>
  <c r="N279" i="1" s="1"/>
  <c r="I268" i="1" l="1"/>
  <c r="P268" i="1" s="1"/>
  <c r="Q268" i="1" s="1"/>
  <c r="J268" i="1"/>
  <c r="O268" i="1" s="1"/>
  <c r="D269" i="1" s="1"/>
  <c r="E269" i="1" l="1"/>
  <c r="G269" i="1"/>
  <c r="H269" i="1" s="1"/>
  <c r="I269" i="1" s="1"/>
  <c r="K268" i="1"/>
  <c r="M268" i="1" s="1"/>
  <c r="N280" i="1" s="1"/>
  <c r="P269" i="1" l="1"/>
  <c r="Q269" i="1" s="1"/>
  <c r="J269" i="1"/>
  <c r="O269" i="1" s="1"/>
  <c r="D270" i="1" s="1"/>
  <c r="E270" i="1" l="1"/>
  <c r="G270" i="1"/>
  <c r="H270" i="1" s="1"/>
  <c r="K269" i="1"/>
  <c r="M269" i="1" s="1"/>
  <c r="N281" i="1" s="1"/>
  <c r="I270" i="1" l="1"/>
  <c r="P270" i="1" s="1"/>
  <c r="Q270" i="1" s="1"/>
  <c r="J270" i="1"/>
  <c r="K270" i="1" l="1"/>
  <c r="M270" i="1" s="1"/>
  <c r="N282" i="1" s="1"/>
  <c r="O270" i="1"/>
  <c r="D271" i="1" s="1"/>
  <c r="E271" i="1" l="1"/>
  <c r="G271" i="1"/>
  <c r="H271" i="1" s="1"/>
  <c r="J271" i="1" l="1"/>
  <c r="I271" i="1"/>
  <c r="P271" i="1" s="1"/>
  <c r="Q271" i="1" s="1"/>
  <c r="O271" i="1" l="1"/>
  <c r="D272" i="1" s="1"/>
  <c r="K271" i="1"/>
  <c r="M271" i="1" s="1"/>
  <c r="N283" i="1" s="1"/>
  <c r="E272" i="1" l="1"/>
  <c r="G272" i="1"/>
  <c r="H272" i="1" s="1"/>
  <c r="I272" i="1" l="1"/>
  <c r="P272" i="1" s="1"/>
  <c r="Q272" i="1" s="1"/>
  <c r="J272" i="1"/>
  <c r="K272" i="1" l="1"/>
  <c r="M272" i="1" s="1"/>
  <c r="N284" i="1" s="1"/>
  <c r="O272" i="1"/>
  <c r="D273" i="1" s="1"/>
  <c r="E273" i="1" l="1"/>
  <c r="G273" i="1"/>
  <c r="H273" i="1" s="1"/>
  <c r="I273" i="1" s="1"/>
  <c r="P273" i="1" l="1"/>
  <c r="Q273" i="1" s="1"/>
  <c r="J273" i="1"/>
  <c r="K273" i="1" l="1"/>
  <c r="M273" i="1" s="1"/>
  <c r="N285" i="1" s="1"/>
  <c r="O273" i="1"/>
  <c r="D274" i="1" s="1"/>
  <c r="E274" i="1" l="1"/>
  <c r="G274" i="1"/>
  <c r="H274" i="1" s="1"/>
  <c r="I274" i="1" s="1"/>
  <c r="P274" i="1" l="1"/>
  <c r="Q274" i="1" s="1"/>
  <c r="J274" i="1"/>
  <c r="K274" i="1" l="1"/>
  <c r="M274" i="1" s="1"/>
  <c r="N286" i="1" s="1"/>
  <c r="O274" i="1"/>
  <c r="D275" i="1" s="1"/>
  <c r="E275" i="1" l="1"/>
  <c r="G275" i="1"/>
  <c r="H275" i="1" s="1"/>
  <c r="I275" i="1" l="1"/>
  <c r="J275" i="1" s="1"/>
  <c r="K275" i="1" l="1"/>
  <c r="M275" i="1" s="1"/>
  <c r="N287" i="1" s="1"/>
  <c r="O275" i="1"/>
  <c r="D276" i="1" s="1"/>
  <c r="P275" i="1"/>
  <c r="Q275" i="1" s="1"/>
  <c r="E276" i="1" l="1"/>
  <c r="G276" i="1"/>
  <c r="H276" i="1" s="1"/>
  <c r="I276" i="1" l="1"/>
  <c r="P276" i="1" s="1"/>
  <c r="Q276" i="1" s="1"/>
  <c r="J276" i="1"/>
  <c r="K276" i="1" l="1"/>
  <c r="M276" i="1" s="1"/>
  <c r="N288" i="1" s="1"/>
  <c r="O276" i="1"/>
  <c r="D277" i="1" s="1"/>
  <c r="E277" i="1" l="1"/>
  <c r="G277" i="1"/>
  <c r="H277" i="1" s="1"/>
  <c r="I277" i="1" l="1"/>
  <c r="P277" i="1"/>
  <c r="Q277" i="1" s="1"/>
  <c r="J277" i="1"/>
  <c r="O277" i="1" l="1"/>
  <c r="D278" i="1" s="1"/>
  <c r="E278" i="1"/>
  <c r="G278" i="1"/>
  <c r="H278" i="1" s="1"/>
  <c r="K277" i="1"/>
  <c r="M277" i="1" s="1"/>
  <c r="N289" i="1" s="1"/>
  <c r="I278" i="1" l="1"/>
  <c r="P278" i="1" s="1"/>
  <c r="Q278" i="1" s="1"/>
  <c r="J278" i="1"/>
  <c r="O278" i="1" s="1"/>
  <c r="D279" i="1" s="1"/>
  <c r="E279" i="1" l="1"/>
  <c r="G279" i="1"/>
  <c r="H279" i="1" s="1"/>
  <c r="K278" i="1"/>
  <c r="M278" i="1" s="1"/>
  <c r="N290" i="1" s="1"/>
  <c r="I279" i="1" l="1"/>
  <c r="P279" i="1" s="1"/>
  <c r="Q279" i="1" s="1"/>
  <c r="J279" i="1"/>
  <c r="O279" i="1" s="1"/>
  <c r="D280" i="1" s="1"/>
  <c r="E280" i="1" l="1"/>
  <c r="G280" i="1"/>
  <c r="H280" i="1" s="1"/>
  <c r="K279" i="1"/>
  <c r="M279" i="1" s="1"/>
  <c r="N291" i="1" s="1"/>
  <c r="I280" i="1" l="1"/>
  <c r="J280" i="1"/>
  <c r="P280" i="1"/>
  <c r="Q280" i="1" s="1"/>
  <c r="O280" i="1" l="1"/>
  <c r="D281" i="1" s="1"/>
  <c r="E281" i="1"/>
  <c r="G281" i="1"/>
  <c r="H281" i="1" s="1"/>
  <c r="K280" i="1"/>
  <c r="M280" i="1" s="1"/>
  <c r="N292" i="1" s="1"/>
  <c r="I281" i="1" l="1"/>
  <c r="P281" i="1" s="1"/>
  <c r="Q281" i="1" s="1"/>
  <c r="J281" i="1"/>
  <c r="O281" i="1" s="1"/>
  <c r="D282" i="1" s="1"/>
  <c r="E282" i="1" l="1"/>
  <c r="G282" i="1"/>
  <c r="H282" i="1" s="1"/>
  <c r="K281" i="1"/>
  <c r="M281" i="1" s="1"/>
  <c r="N293" i="1" s="1"/>
  <c r="I282" i="1" l="1"/>
  <c r="P282" i="1" s="1"/>
  <c r="Q282" i="1" s="1"/>
  <c r="J282" i="1"/>
  <c r="O282" i="1" l="1"/>
  <c r="D283" i="1" s="1"/>
  <c r="K282" i="1"/>
  <c r="M282" i="1" s="1"/>
  <c r="N294" i="1" s="1"/>
  <c r="E283" i="1" l="1"/>
  <c r="G283" i="1"/>
  <c r="H283" i="1" s="1"/>
  <c r="I283" i="1" l="1"/>
  <c r="P283" i="1" s="1"/>
  <c r="Q283" i="1" s="1"/>
  <c r="J283" i="1"/>
  <c r="K283" i="1" l="1"/>
  <c r="M283" i="1" s="1"/>
  <c r="N295" i="1" s="1"/>
  <c r="O283" i="1"/>
  <c r="D284" i="1" s="1"/>
  <c r="E284" i="1" l="1"/>
  <c r="G284" i="1"/>
  <c r="H284" i="1" s="1"/>
  <c r="I284" i="1" l="1"/>
  <c r="P284" i="1" s="1"/>
  <c r="Q284" i="1" s="1"/>
  <c r="J284" i="1"/>
  <c r="K284" i="1" l="1"/>
  <c r="M284" i="1" s="1"/>
  <c r="N296" i="1" s="1"/>
  <c r="O284" i="1"/>
  <c r="D285" i="1" s="1"/>
  <c r="E285" i="1" l="1"/>
  <c r="G285" i="1"/>
  <c r="H285" i="1" s="1"/>
  <c r="I285" i="1" l="1"/>
  <c r="P285" i="1" s="1"/>
  <c r="Q285" i="1" s="1"/>
  <c r="J285" i="1"/>
  <c r="K285" i="1" l="1"/>
  <c r="M285" i="1" s="1"/>
  <c r="N297" i="1" s="1"/>
  <c r="O285" i="1"/>
  <c r="D286" i="1" s="1"/>
  <c r="E286" i="1" l="1"/>
  <c r="G286" i="1"/>
  <c r="H286" i="1" s="1"/>
  <c r="I286" i="1" l="1"/>
  <c r="P286" i="1" s="1"/>
  <c r="Q286" i="1" s="1"/>
  <c r="J286" i="1"/>
  <c r="K286" i="1" l="1"/>
  <c r="M286" i="1" s="1"/>
  <c r="N298" i="1" s="1"/>
  <c r="O286" i="1"/>
  <c r="D287" i="1" s="1"/>
  <c r="E287" i="1" l="1"/>
  <c r="G287" i="1"/>
  <c r="H287" i="1" s="1"/>
  <c r="I287" i="1" l="1"/>
  <c r="J287" i="1" s="1"/>
  <c r="O287" i="1" l="1"/>
  <c r="D288" i="1" s="1"/>
  <c r="K287" i="1"/>
  <c r="M287" i="1" s="1"/>
  <c r="N299" i="1" s="1"/>
  <c r="P287" i="1"/>
  <c r="Q287" i="1" s="1"/>
  <c r="E288" i="1" l="1"/>
  <c r="G288" i="1"/>
  <c r="H288" i="1" s="1"/>
  <c r="I288" i="1" l="1"/>
  <c r="P288" i="1" s="1"/>
  <c r="Q288" i="1" s="1"/>
  <c r="J288" i="1"/>
  <c r="O288" i="1" s="1"/>
  <c r="D289" i="1" s="1"/>
  <c r="E289" i="1" l="1"/>
  <c r="G289" i="1"/>
  <c r="H289" i="1" s="1"/>
  <c r="K288" i="1"/>
  <c r="M288" i="1" s="1"/>
  <c r="N300" i="1" s="1"/>
  <c r="J289" i="1" l="1"/>
  <c r="O289" i="1" s="1"/>
  <c r="D290" i="1" s="1"/>
  <c r="I289" i="1"/>
  <c r="P289" i="1" s="1"/>
  <c r="Q289" i="1" s="1"/>
  <c r="E290" i="1" l="1"/>
  <c r="G290" i="1"/>
  <c r="H290" i="1" s="1"/>
  <c r="K289" i="1"/>
  <c r="M289" i="1" s="1"/>
  <c r="N301" i="1" s="1"/>
  <c r="I290" i="1" l="1"/>
  <c r="P290" i="1" s="1"/>
  <c r="Q290" i="1" s="1"/>
  <c r="J290" i="1"/>
  <c r="K290" i="1" l="1"/>
  <c r="M290" i="1" s="1"/>
  <c r="N302" i="1" s="1"/>
  <c r="O290" i="1"/>
  <c r="D291" i="1" s="1"/>
  <c r="E291" i="1" l="1"/>
  <c r="G291" i="1"/>
  <c r="H291" i="1" s="1"/>
  <c r="I291" i="1" l="1"/>
  <c r="P291" i="1" s="1"/>
  <c r="Q291" i="1" s="1"/>
  <c r="J291" i="1"/>
  <c r="K291" i="1" l="1"/>
  <c r="M291" i="1" s="1"/>
  <c r="N303" i="1" s="1"/>
  <c r="O291" i="1"/>
  <c r="D292" i="1" s="1"/>
  <c r="E292" i="1" l="1"/>
  <c r="G292" i="1"/>
  <c r="H292" i="1" s="1"/>
  <c r="I292" i="1" l="1"/>
  <c r="P292" i="1" s="1"/>
  <c r="Q292" i="1" s="1"/>
  <c r="J292" i="1"/>
  <c r="O292" i="1" l="1"/>
  <c r="D293" i="1" s="1"/>
  <c r="K292" i="1"/>
  <c r="M292" i="1" s="1"/>
  <c r="N304" i="1" s="1"/>
  <c r="E293" i="1" l="1"/>
  <c r="G293" i="1"/>
  <c r="H293" i="1" s="1"/>
  <c r="I293" i="1" l="1"/>
  <c r="P293" i="1" s="1"/>
  <c r="Q293" i="1" s="1"/>
  <c r="J293" i="1"/>
  <c r="K293" i="1" l="1"/>
  <c r="M293" i="1" s="1"/>
  <c r="N305" i="1" s="1"/>
  <c r="O293" i="1"/>
  <c r="D294" i="1" s="1"/>
  <c r="E294" i="1" l="1"/>
  <c r="G294" i="1"/>
  <c r="H294" i="1" s="1"/>
  <c r="I294" i="1" l="1"/>
  <c r="P294" i="1" s="1"/>
  <c r="Q294" i="1" s="1"/>
  <c r="J294" i="1"/>
  <c r="K294" i="1" l="1"/>
  <c r="M294" i="1" s="1"/>
  <c r="N306" i="1" s="1"/>
  <c r="O294" i="1"/>
  <c r="D295" i="1" s="1"/>
  <c r="E295" i="1" l="1"/>
  <c r="G295" i="1"/>
  <c r="H295" i="1" s="1"/>
  <c r="I295" i="1" l="1"/>
  <c r="J295" i="1" s="1"/>
  <c r="O295" i="1" s="1"/>
  <c r="D296" i="1" s="1"/>
  <c r="E296" i="1" l="1"/>
  <c r="G296" i="1"/>
  <c r="H296" i="1" s="1"/>
  <c r="K295" i="1"/>
  <c r="M295" i="1" s="1"/>
  <c r="N307" i="1" s="1"/>
  <c r="P295" i="1"/>
  <c r="Q295" i="1" s="1"/>
  <c r="I296" i="1" l="1"/>
  <c r="P296" i="1" s="1"/>
  <c r="Q296" i="1" s="1"/>
  <c r="J296" i="1"/>
  <c r="K296" i="1" l="1"/>
  <c r="M296" i="1" s="1"/>
  <c r="N308" i="1" s="1"/>
  <c r="O296" i="1"/>
  <c r="D297" i="1" s="1"/>
  <c r="E297" i="1" l="1"/>
  <c r="G297" i="1"/>
  <c r="H297" i="1" s="1"/>
  <c r="I297" i="1" l="1"/>
  <c r="P297" i="1" s="1"/>
  <c r="Q297" i="1" s="1"/>
  <c r="J297" i="1"/>
  <c r="K297" i="1" l="1"/>
  <c r="M297" i="1" s="1"/>
  <c r="N309" i="1" s="1"/>
  <c r="O297" i="1"/>
  <c r="D298" i="1" s="1"/>
  <c r="E298" i="1" l="1"/>
  <c r="G298" i="1"/>
  <c r="H298" i="1" s="1"/>
  <c r="I298" i="1" s="1"/>
  <c r="P298" i="1" l="1"/>
  <c r="Q298" i="1" s="1"/>
  <c r="J298" i="1"/>
  <c r="K298" i="1" l="1"/>
  <c r="M298" i="1" s="1"/>
  <c r="N310" i="1" s="1"/>
  <c r="O298" i="1"/>
  <c r="D299" i="1" s="1"/>
  <c r="E299" i="1" l="1"/>
  <c r="G299" i="1"/>
  <c r="H299" i="1" s="1"/>
  <c r="I299" i="1" l="1"/>
  <c r="P299" i="1" s="1"/>
  <c r="Q299" i="1" s="1"/>
  <c r="J299" i="1"/>
  <c r="O299" i="1" l="1"/>
  <c r="D300" i="1" s="1"/>
  <c r="K299" i="1"/>
  <c r="M299" i="1" s="1"/>
  <c r="N311" i="1" s="1"/>
  <c r="E300" i="1" l="1"/>
  <c r="G300" i="1"/>
  <c r="H300" i="1" s="1"/>
  <c r="I300" i="1" l="1"/>
  <c r="P300" i="1" s="1"/>
  <c r="Q300" i="1" s="1"/>
  <c r="J300" i="1"/>
  <c r="K300" i="1" l="1"/>
  <c r="M300" i="1" s="1"/>
  <c r="N312" i="1" s="1"/>
  <c r="O300" i="1"/>
  <c r="D301" i="1" s="1"/>
  <c r="E301" i="1" l="1"/>
  <c r="G301" i="1"/>
  <c r="H301" i="1" s="1"/>
  <c r="I301" i="1" l="1"/>
  <c r="P301" i="1" s="1"/>
  <c r="Q301" i="1" s="1"/>
  <c r="J301" i="1"/>
  <c r="O301" i="1" s="1"/>
  <c r="D302" i="1" s="1"/>
  <c r="E302" i="1" l="1"/>
  <c r="G302" i="1"/>
  <c r="H302" i="1" s="1"/>
  <c r="K301" i="1"/>
  <c r="M301" i="1" s="1"/>
  <c r="N313" i="1" s="1"/>
  <c r="I302" i="1" l="1"/>
  <c r="P302" i="1" s="1"/>
  <c r="Q302" i="1" s="1"/>
  <c r="J302" i="1"/>
  <c r="K302" i="1" l="1"/>
  <c r="M302" i="1" s="1"/>
  <c r="N314" i="1" s="1"/>
  <c r="O302" i="1"/>
  <c r="D303" i="1" s="1"/>
  <c r="E303" i="1" l="1"/>
  <c r="G303" i="1"/>
  <c r="H303" i="1" s="1"/>
  <c r="I303" i="1" l="1"/>
  <c r="P303" i="1" s="1"/>
  <c r="Q303" i="1" s="1"/>
  <c r="J303" i="1"/>
  <c r="O303" i="1" l="1"/>
  <c r="D304" i="1" s="1"/>
  <c r="K303" i="1"/>
  <c r="M303" i="1" s="1"/>
  <c r="N315" i="1" s="1"/>
  <c r="E304" i="1" l="1"/>
  <c r="G304" i="1"/>
  <c r="H304" i="1" s="1"/>
  <c r="I304" i="1" s="1"/>
  <c r="P304" i="1" l="1"/>
  <c r="Q304" i="1" s="1"/>
  <c r="J304" i="1"/>
  <c r="O304" i="1" s="1"/>
  <c r="D305" i="1" s="1"/>
  <c r="E305" i="1" l="1"/>
  <c r="G305" i="1"/>
  <c r="H305" i="1" s="1"/>
  <c r="K304" i="1"/>
  <c r="M304" i="1" s="1"/>
  <c r="N316" i="1" s="1"/>
  <c r="I305" i="1" l="1"/>
  <c r="P305" i="1" s="1"/>
  <c r="Q305" i="1" s="1"/>
  <c r="J305" i="1"/>
  <c r="K305" i="1" l="1"/>
  <c r="M305" i="1" s="1"/>
  <c r="N317" i="1" s="1"/>
  <c r="O305" i="1"/>
  <c r="D306" i="1" s="1"/>
  <c r="E306" i="1" l="1"/>
  <c r="G306" i="1"/>
  <c r="H306" i="1" s="1"/>
  <c r="I306" i="1" l="1"/>
  <c r="P306" i="1" s="1"/>
  <c r="Q306" i="1" s="1"/>
  <c r="J306" i="1"/>
  <c r="O306" i="1" l="1"/>
  <c r="D307" i="1" s="1"/>
  <c r="K306" i="1"/>
  <c r="M306" i="1" s="1"/>
  <c r="N318" i="1" s="1"/>
  <c r="E307" i="1" l="1"/>
  <c r="G307" i="1"/>
  <c r="H307" i="1" s="1"/>
  <c r="I307" i="1" l="1"/>
  <c r="P307" i="1" s="1"/>
  <c r="Q307" i="1" s="1"/>
  <c r="J307" i="1"/>
  <c r="K307" i="1" l="1"/>
  <c r="M307" i="1" s="1"/>
  <c r="N319" i="1" s="1"/>
  <c r="O307" i="1"/>
  <c r="D308" i="1" s="1"/>
  <c r="E308" i="1" l="1"/>
  <c r="G308" i="1"/>
  <c r="H308" i="1" s="1"/>
  <c r="I308" i="1" l="1"/>
  <c r="P308" i="1" s="1"/>
  <c r="Q308" i="1" s="1"/>
  <c r="J308" i="1"/>
  <c r="K308" i="1" l="1"/>
  <c r="M308" i="1" s="1"/>
  <c r="N320" i="1" s="1"/>
  <c r="O308" i="1"/>
  <c r="D309" i="1" s="1"/>
  <c r="E309" i="1" l="1"/>
  <c r="G309" i="1"/>
  <c r="H309" i="1" s="1"/>
  <c r="I309" i="1" s="1"/>
  <c r="J309" i="1" s="1"/>
  <c r="K309" i="1" l="1"/>
  <c r="M309" i="1" s="1"/>
  <c r="N321" i="1" s="1"/>
  <c r="P309" i="1"/>
  <c r="Q309" i="1" s="1"/>
  <c r="O309" i="1"/>
  <c r="D310" i="1" s="1"/>
  <c r="E310" i="1" l="1"/>
  <c r="G310" i="1"/>
  <c r="H310" i="1" s="1"/>
  <c r="I310" i="1" l="1"/>
  <c r="P310" i="1"/>
  <c r="Q310" i="1" s="1"/>
  <c r="J310" i="1"/>
  <c r="O310" i="1" l="1"/>
  <c r="D311" i="1" s="1"/>
  <c r="E311" i="1"/>
  <c r="G311" i="1"/>
  <c r="H311" i="1" s="1"/>
  <c r="K310" i="1"/>
  <c r="M310" i="1" s="1"/>
  <c r="N322" i="1" s="1"/>
  <c r="I311" i="1" l="1"/>
  <c r="P311" i="1" s="1"/>
  <c r="Q311" i="1" s="1"/>
  <c r="J311" i="1"/>
  <c r="K311" i="1" l="1"/>
  <c r="M311" i="1" s="1"/>
  <c r="N323" i="1" s="1"/>
  <c r="O311" i="1"/>
  <c r="D312" i="1" s="1"/>
  <c r="E312" i="1" l="1"/>
  <c r="G312" i="1"/>
  <c r="H312" i="1" s="1"/>
  <c r="I312" i="1" l="1"/>
  <c r="P312" i="1" s="1"/>
  <c r="Q312" i="1" s="1"/>
  <c r="J312" i="1"/>
  <c r="K312" i="1" l="1"/>
  <c r="M312" i="1" s="1"/>
  <c r="N324" i="1" s="1"/>
  <c r="O312" i="1"/>
  <c r="D313" i="1" s="1"/>
  <c r="E313" i="1" l="1"/>
  <c r="G313" i="1"/>
  <c r="H313" i="1" s="1"/>
  <c r="I313" i="1" l="1"/>
  <c r="P313" i="1" s="1"/>
  <c r="Q313" i="1" s="1"/>
  <c r="J313" i="1"/>
  <c r="O313" i="1" s="1"/>
  <c r="D314" i="1" s="1"/>
  <c r="E314" i="1" l="1"/>
  <c r="G314" i="1"/>
  <c r="H314" i="1" s="1"/>
  <c r="I314" i="1" s="1"/>
  <c r="K313" i="1"/>
  <c r="M313" i="1" s="1"/>
  <c r="N325" i="1" s="1"/>
  <c r="P314" i="1" l="1"/>
  <c r="Q314" i="1" s="1"/>
  <c r="J314" i="1"/>
  <c r="K314" i="1" l="1"/>
  <c r="M314" i="1" s="1"/>
  <c r="N326" i="1" s="1"/>
  <c r="O314" i="1"/>
  <c r="D315" i="1" s="1"/>
  <c r="E315" i="1" l="1"/>
  <c r="G315" i="1"/>
  <c r="H315" i="1" s="1"/>
  <c r="I315" i="1" s="1"/>
  <c r="P315" i="1" l="1"/>
  <c r="Q315" i="1" s="1"/>
  <c r="J315" i="1"/>
  <c r="K315" i="1" l="1"/>
  <c r="M315" i="1" s="1"/>
  <c r="N327" i="1" s="1"/>
  <c r="O315" i="1"/>
  <c r="D316" i="1" s="1"/>
  <c r="E316" i="1" l="1"/>
  <c r="G316" i="1"/>
  <c r="H316" i="1" s="1"/>
  <c r="I316" i="1" s="1"/>
  <c r="P316" i="1" l="1"/>
  <c r="Q316" i="1" s="1"/>
  <c r="J316" i="1"/>
  <c r="O316" i="1" s="1"/>
  <c r="D317" i="1" s="1"/>
  <c r="E317" i="1" l="1"/>
  <c r="G317" i="1"/>
  <c r="H317" i="1" s="1"/>
  <c r="K316" i="1"/>
  <c r="M316" i="1" s="1"/>
  <c r="N328" i="1" s="1"/>
  <c r="I317" i="1" l="1"/>
  <c r="J317" i="1" s="1"/>
  <c r="K317" i="1" l="1"/>
  <c r="M317" i="1" s="1"/>
  <c r="N329" i="1" s="1"/>
  <c r="O317" i="1"/>
  <c r="D318" i="1" s="1"/>
  <c r="P317" i="1"/>
  <c r="Q317" i="1" s="1"/>
  <c r="E318" i="1" l="1"/>
  <c r="G318" i="1"/>
  <c r="H318" i="1" s="1"/>
  <c r="I318" i="1" s="1"/>
  <c r="P318" i="1" l="1"/>
  <c r="Q318" i="1" s="1"/>
  <c r="J318" i="1"/>
  <c r="O318" i="1" s="1"/>
  <c r="D319" i="1" s="1"/>
  <c r="E319" i="1" l="1"/>
  <c r="G319" i="1"/>
  <c r="H319" i="1" s="1"/>
  <c r="I319" i="1" s="1"/>
  <c r="J319" i="1" s="1"/>
  <c r="K318" i="1"/>
  <c r="M318" i="1" s="1"/>
  <c r="N330" i="1" s="1"/>
  <c r="K319" i="1" l="1"/>
  <c r="M319" i="1" s="1"/>
  <c r="N331" i="1" s="1"/>
  <c r="P319" i="1"/>
  <c r="Q319" i="1" s="1"/>
  <c r="O319" i="1"/>
  <c r="D320" i="1" s="1"/>
  <c r="E320" i="1" l="1"/>
  <c r="G320" i="1"/>
  <c r="H320" i="1" s="1"/>
  <c r="I320" i="1" l="1"/>
  <c r="P320" i="1" s="1"/>
  <c r="Q320" i="1" s="1"/>
  <c r="J320" i="1"/>
  <c r="O320" i="1" s="1"/>
  <c r="D321" i="1" s="1"/>
  <c r="E321" i="1" l="1"/>
  <c r="G321" i="1"/>
  <c r="H321" i="1" s="1"/>
  <c r="I321" i="1" s="1"/>
  <c r="J321" i="1" s="1"/>
  <c r="K320" i="1"/>
  <c r="M320" i="1" s="1"/>
  <c r="N332" i="1" s="1"/>
  <c r="K321" i="1" l="1"/>
  <c r="M321" i="1" s="1"/>
  <c r="N333" i="1" s="1"/>
  <c r="P321" i="1"/>
  <c r="Q321" i="1" s="1"/>
  <c r="O321" i="1"/>
  <c r="D322" i="1" s="1"/>
  <c r="E322" i="1" l="1"/>
  <c r="G322" i="1"/>
  <c r="H322" i="1" s="1"/>
  <c r="I322" i="1" s="1"/>
  <c r="P322" i="1" l="1"/>
  <c r="Q322" i="1" s="1"/>
  <c r="J322" i="1"/>
  <c r="K322" i="1" l="1"/>
  <c r="M322" i="1" s="1"/>
  <c r="N334" i="1" s="1"/>
  <c r="O322" i="1"/>
  <c r="D323" i="1" s="1"/>
  <c r="E323" i="1" l="1"/>
  <c r="G323" i="1"/>
  <c r="H323" i="1" s="1"/>
  <c r="I323" i="1" l="1"/>
  <c r="P323" i="1" s="1"/>
  <c r="Q323" i="1" s="1"/>
  <c r="J323" i="1"/>
  <c r="K323" i="1" l="1"/>
  <c r="M323" i="1" s="1"/>
  <c r="N335" i="1" s="1"/>
  <c r="O323" i="1"/>
  <c r="D324" i="1" s="1"/>
  <c r="E324" i="1" l="1"/>
  <c r="G324" i="1"/>
  <c r="H324" i="1" s="1"/>
  <c r="I324" i="1" l="1"/>
  <c r="P324" i="1" s="1"/>
  <c r="Q324" i="1" s="1"/>
  <c r="J324" i="1"/>
  <c r="K324" i="1" l="1"/>
  <c r="M324" i="1" s="1"/>
  <c r="N336" i="1" s="1"/>
  <c r="O324" i="1"/>
  <c r="D325" i="1" s="1"/>
  <c r="E325" i="1" l="1"/>
  <c r="G325" i="1"/>
  <c r="H325" i="1" s="1"/>
  <c r="I325" i="1" l="1"/>
  <c r="J325" i="1"/>
  <c r="O325" i="1" l="1"/>
  <c r="D326" i="1" s="1"/>
  <c r="E326" i="1"/>
  <c r="G326" i="1"/>
  <c r="H326" i="1" s="1"/>
  <c r="K325" i="1"/>
  <c r="M325" i="1" s="1"/>
  <c r="N337" i="1" s="1"/>
  <c r="P325" i="1"/>
  <c r="Q325" i="1" s="1"/>
  <c r="I326" i="1" l="1"/>
  <c r="P326" i="1" s="1"/>
  <c r="Q326" i="1" s="1"/>
  <c r="J326" i="1"/>
  <c r="O326" i="1" s="1"/>
  <c r="D327" i="1" s="1"/>
  <c r="E327" i="1" l="1"/>
  <c r="G327" i="1"/>
  <c r="H327" i="1" s="1"/>
  <c r="K326" i="1"/>
  <c r="M326" i="1" s="1"/>
  <c r="N338" i="1" s="1"/>
  <c r="J327" i="1" l="1"/>
  <c r="I327" i="1"/>
  <c r="P327" i="1" s="1"/>
  <c r="Q327" i="1" s="1"/>
  <c r="O327" i="1" l="1"/>
  <c r="D328" i="1" s="1"/>
  <c r="K327" i="1"/>
  <c r="M327" i="1" s="1"/>
  <c r="N339" i="1" s="1"/>
  <c r="E328" i="1" l="1"/>
  <c r="G328" i="1"/>
  <c r="H328" i="1" s="1"/>
  <c r="I328" i="1" s="1"/>
  <c r="P328" i="1" l="1"/>
  <c r="Q328" i="1" s="1"/>
  <c r="J328" i="1"/>
  <c r="O328" i="1" s="1"/>
  <c r="D329" i="1" s="1"/>
  <c r="E329" i="1" l="1"/>
  <c r="G329" i="1"/>
  <c r="H329" i="1" s="1"/>
  <c r="K328" i="1"/>
  <c r="M328" i="1" s="1"/>
  <c r="N340" i="1" s="1"/>
  <c r="I329" i="1" l="1"/>
  <c r="J329" i="1" s="1"/>
  <c r="O329" i="1" l="1"/>
  <c r="D330" i="1" s="1"/>
  <c r="K329" i="1"/>
  <c r="M329" i="1" s="1"/>
  <c r="N341" i="1" s="1"/>
  <c r="P329" i="1"/>
  <c r="Q329" i="1" s="1"/>
  <c r="E330" i="1" l="1"/>
  <c r="G330" i="1"/>
  <c r="H330" i="1" s="1"/>
  <c r="I330" i="1" l="1"/>
  <c r="J330" i="1"/>
  <c r="O330" i="1" l="1"/>
  <c r="D331" i="1" s="1"/>
  <c r="E331" i="1"/>
  <c r="G331" i="1"/>
  <c r="H331" i="1" s="1"/>
  <c r="K330" i="1"/>
  <c r="M330" i="1" s="1"/>
  <c r="N342" i="1" s="1"/>
  <c r="P330" i="1"/>
  <c r="Q330" i="1" s="1"/>
  <c r="I331" i="1" l="1"/>
  <c r="J331" i="1" s="1"/>
  <c r="O331" i="1" s="1"/>
  <c r="D332" i="1" s="1"/>
  <c r="E332" i="1" l="1"/>
  <c r="G332" i="1"/>
  <c r="H332" i="1" s="1"/>
  <c r="I332" i="1" s="1"/>
  <c r="K331" i="1"/>
  <c r="M331" i="1" s="1"/>
  <c r="N343" i="1" s="1"/>
  <c r="P331" i="1"/>
  <c r="Q331" i="1" s="1"/>
  <c r="P332" i="1" l="1"/>
  <c r="Q332" i="1" s="1"/>
  <c r="J332" i="1"/>
  <c r="O332" i="1" s="1"/>
  <c r="D333" i="1" s="1"/>
  <c r="E333" i="1" l="1"/>
  <c r="G333" i="1"/>
  <c r="H333" i="1" s="1"/>
  <c r="I333" i="1" s="1"/>
  <c r="K332" i="1"/>
  <c r="M332" i="1" s="1"/>
  <c r="N344" i="1" s="1"/>
  <c r="P333" i="1" l="1"/>
  <c r="Q333" i="1" s="1"/>
  <c r="J333" i="1"/>
  <c r="K333" i="1" l="1"/>
  <c r="M333" i="1" s="1"/>
  <c r="N345" i="1" s="1"/>
  <c r="O333" i="1"/>
  <c r="D334" i="1" s="1"/>
  <c r="E334" i="1" l="1"/>
  <c r="G334" i="1"/>
  <c r="H334" i="1" s="1"/>
  <c r="I334" i="1" l="1"/>
  <c r="J334" i="1" s="1"/>
  <c r="O334" i="1" s="1"/>
  <c r="D335" i="1" s="1"/>
  <c r="E335" i="1" l="1"/>
  <c r="G335" i="1"/>
  <c r="H335" i="1" s="1"/>
  <c r="I335" i="1" s="1"/>
  <c r="K334" i="1"/>
  <c r="M334" i="1" s="1"/>
  <c r="N346" i="1" s="1"/>
  <c r="P334" i="1"/>
  <c r="Q334" i="1" s="1"/>
  <c r="P335" i="1" l="1"/>
  <c r="Q335" i="1" s="1"/>
  <c r="J335" i="1"/>
  <c r="O335" i="1" s="1"/>
  <c r="D336" i="1" s="1"/>
  <c r="E336" i="1" l="1"/>
  <c r="G336" i="1"/>
  <c r="H336" i="1" s="1"/>
  <c r="K335" i="1"/>
  <c r="M335" i="1" s="1"/>
  <c r="N347" i="1" s="1"/>
  <c r="I336" i="1" l="1"/>
  <c r="P336" i="1" s="1"/>
  <c r="Q336" i="1" s="1"/>
  <c r="J336" i="1"/>
  <c r="O336" i="1" s="1"/>
  <c r="D337" i="1" s="1"/>
  <c r="E337" i="1" l="1"/>
  <c r="G337" i="1"/>
  <c r="H337" i="1" s="1"/>
  <c r="K336" i="1"/>
  <c r="M336" i="1" s="1"/>
  <c r="N348" i="1" s="1"/>
  <c r="I337" i="1" l="1"/>
  <c r="J337" i="1" s="1"/>
  <c r="O337" i="1" l="1"/>
  <c r="D338" i="1" s="1"/>
  <c r="K337" i="1"/>
  <c r="M337" i="1" s="1"/>
  <c r="N349" i="1" s="1"/>
  <c r="P337" i="1"/>
  <c r="Q337" i="1" s="1"/>
  <c r="E338" i="1" l="1"/>
  <c r="G338" i="1"/>
  <c r="H338" i="1" s="1"/>
  <c r="I338" i="1" l="1"/>
  <c r="P338" i="1" s="1"/>
  <c r="Q338" i="1" s="1"/>
  <c r="J338" i="1"/>
  <c r="O338" i="1" s="1"/>
  <c r="D339" i="1" s="1"/>
  <c r="E339" i="1" l="1"/>
  <c r="G339" i="1"/>
  <c r="H339" i="1" s="1"/>
  <c r="K338" i="1"/>
  <c r="M338" i="1" s="1"/>
  <c r="N350" i="1" s="1"/>
  <c r="I339" i="1" l="1"/>
  <c r="P339" i="1" s="1"/>
  <c r="Q339" i="1" s="1"/>
  <c r="J339" i="1"/>
  <c r="O339" i="1" s="1"/>
  <c r="D340" i="1" s="1"/>
  <c r="E340" i="1" l="1"/>
  <c r="G340" i="1"/>
  <c r="H340" i="1" s="1"/>
  <c r="K339" i="1"/>
  <c r="M339" i="1" s="1"/>
  <c r="N351" i="1" s="1"/>
  <c r="I340" i="1" l="1"/>
  <c r="P340" i="1" s="1"/>
  <c r="Q340" i="1" s="1"/>
  <c r="J340" i="1"/>
  <c r="K340" i="1" l="1"/>
  <c r="M340" i="1" s="1"/>
  <c r="N352" i="1" s="1"/>
  <c r="O340" i="1"/>
  <c r="D341" i="1" s="1"/>
  <c r="E341" i="1" l="1"/>
  <c r="G341" i="1"/>
  <c r="H341" i="1" s="1"/>
  <c r="I341" i="1" s="1"/>
  <c r="P341" i="1" l="1"/>
  <c r="Q341" i="1" s="1"/>
  <c r="J341" i="1"/>
  <c r="O341" i="1" s="1"/>
  <c r="D342" i="1" s="1"/>
  <c r="E342" i="1" l="1"/>
  <c r="G342" i="1"/>
  <c r="H342" i="1" s="1"/>
  <c r="K341" i="1"/>
  <c r="M341" i="1" s="1"/>
  <c r="N353" i="1" s="1"/>
  <c r="I342" i="1" l="1"/>
  <c r="P342" i="1" s="1"/>
  <c r="Q342" i="1" s="1"/>
  <c r="J342" i="1"/>
  <c r="K342" i="1" l="1"/>
  <c r="M342" i="1" s="1"/>
  <c r="N354" i="1" s="1"/>
  <c r="O342" i="1"/>
  <c r="D343" i="1" s="1"/>
  <c r="E343" i="1" l="1"/>
  <c r="G343" i="1"/>
  <c r="H343" i="1" s="1"/>
  <c r="I343" i="1" l="1"/>
  <c r="P343" i="1" s="1"/>
  <c r="Q343" i="1" s="1"/>
  <c r="J343" i="1"/>
  <c r="O343" i="1" l="1"/>
  <c r="D344" i="1" s="1"/>
  <c r="K343" i="1"/>
  <c r="M343" i="1" s="1"/>
  <c r="N355" i="1" s="1"/>
  <c r="E344" i="1" l="1"/>
  <c r="G344" i="1"/>
  <c r="H344" i="1" s="1"/>
  <c r="I344" i="1" l="1"/>
  <c r="P344" i="1" s="1"/>
  <c r="Q344" i="1" s="1"/>
  <c r="J344" i="1"/>
  <c r="O344" i="1" s="1"/>
  <c r="D345" i="1" s="1"/>
  <c r="E345" i="1" l="1"/>
  <c r="G345" i="1"/>
  <c r="H345" i="1" s="1"/>
  <c r="K344" i="1"/>
  <c r="M344" i="1" s="1"/>
  <c r="N356" i="1" s="1"/>
  <c r="I345" i="1" l="1"/>
  <c r="J345" i="1" s="1"/>
  <c r="O345" i="1" s="1"/>
  <c r="D346" i="1" s="1"/>
  <c r="E346" i="1" l="1"/>
  <c r="G346" i="1"/>
  <c r="H346" i="1" s="1"/>
  <c r="K345" i="1"/>
  <c r="M345" i="1" s="1"/>
  <c r="N357" i="1" s="1"/>
  <c r="P345" i="1"/>
  <c r="Q345" i="1" s="1"/>
  <c r="I346" i="1" l="1"/>
  <c r="P346" i="1" s="1"/>
  <c r="Q346" i="1" s="1"/>
  <c r="J346" i="1"/>
  <c r="K346" i="1" l="1"/>
  <c r="M346" i="1" s="1"/>
  <c r="N358" i="1" s="1"/>
  <c r="O346" i="1"/>
  <c r="D347" i="1" s="1"/>
  <c r="E347" i="1" l="1"/>
  <c r="G347" i="1"/>
  <c r="H347" i="1" s="1"/>
  <c r="I347" i="1" l="1"/>
  <c r="P347" i="1" s="1"/>
  <c r="Q347" i="1" s="1"/>
  <c r="J347" i="1"/>
  <c r="K347" i="1" l="1"/>
  <c r="M347" i="1" s="1"/>
  <c r="N359" i="1" s="1"/>
  <c r="O347" i="1"/>
  <c r="D348" i="1" s="1"/>
  <c r="E348" i="1" l="1"/>
  <c r="G348" i="1"/>
  <c r="H348" i="1" s="1"/>
  <c r="I348" i="1" s="1"/>
  <c r="J348" i="1" s="1"/>
  <c r="K348" i="1" l="1"/>
  <c r="M348" i="1" s="1"/>
  <c r="N360" i="1" s="1"/>
  <c r="P348" i="1"/>
  <c r="Q348" i="1" s="1"/>
  <c r="O348" i="1"/>
  <c r="D349" i="1" s="1"/>
  <c r="E349" i="1" l="1"/>
  <c r="G349" i="1"/>
  <c r="H349" i="1" s="1"/>
  <c r="I349" i="1" s="1"/>
  <c r="P349" i="1" l="1"/>
  <c r="Q349" i="1" s="1"/>
  <c r="J349" i="1"/>
  <c r="O349" i="1" s="1"/>
  <c r="D350" i="1" s="1"/>
  <c r="E350" i="1" l="1"/>
  <c r="G350" i="1"/>
  <c r="H350" i="1" s="1"/>
  <c r="K349" i="1"/>
  <c r="M349" i="1" s="1"/>
  <c r="N361" i="1" s="1"/>
  <c r="I350" i="1" l="1"/>
  <c r="P350" i="1" s="1"/>
  <c r="Q350" i="1" s="1"/>
  <c r="J350" i="1"/>
  <c r="K350" i="1" l="1"/>
  <c r="M350" i="1" s="1"/>
  <c r="N362" i="1" s="1"/>
  <c r="O350" i="1"/>
  <c r="D351" i="1" s="1"/>
  <c r="E351" i="1" l="1"/>
  <c r="G351" i="1"/>
  <c r="H351" i="1" s="1"/>
  <c r="I351" i="1" l="1"/>
  <c r="P351" i="1" s="1"/>
  <c r="Q351" i="1" s="1"/>
  <c r="J351" i="1"/>
  <c r="O351" i="1" l="1"/>
  <c r="D352" i="1" s="1"/>
  <c r="K351" i="1"/>
  <c r="M351" i="1" s="1"/>
  <c r="N363" i="1" s="1"/>
  <c r="E352" i="1" l="1"/>
  <c r="G352" i="1"/>
  <c r="H352" i="1" s="1"/>
  <c r="I352" i="1" l="1"/>
  <c r="J352" i="1" s="1"/>
  <c r="O352" i="1" s="1"/>
  <c r="D353" i="1" s="1"/>
  <c r="E353" i="1" l="1"/>
  <c r="G353" i="1"/>
  <c r="H353" i="1" s="1"/>
  <c r="K352" i="1"/>
  <c r="M352" i="1" s="1"/>
  <c r="N364" i="1" s="1"/>
  <c r="P352" i="1"/>
  <c r="Q352" i="1" s="1"/>
  <c r="I353" i="1" l="1"/>
  <c r="J353" i="1"/>
  <c r="O353" i="1" l="1"/>
  <c r="D354" i="1" s="1"/>
  <c r="E354" i="1"/>
  <c r="G354" i="1"/>
  <c r="H354" i="1" s="1"/>
  <c r="K353" i="1"/>
  <c r="M353" i="1" s="1"/>
  <c r="N365" i="1" s="1"/>
  <c r="P353" i="1"/>
  <c r="Q353" i="1" s="1"/>
  <c r="I354" i="1" l="1"/>
  <c r="J354" i="1" s="1"/>
  <c r="O354" i="1" s="1"/>
  <c r="D355" i="1" s="1"/>
  <c r="E355" i="1" l="1"/>
  <c r="G355" i="1"/>
  <c r="H355" i="1" s="1"/>
  <c r="K354" i="1"/>
  <c r="M354" i="1" s="1"/>
  <c r="N366" i="1" s="1"/>
  <c r="P354" i="1"/>
  <c r="Q354" i="1" s="1"/>
  <c r="I355" i="1" l="1"/>
  <c r="P355" i="1" s="1"/>
  <c r="Q355" i="1" s="1"/>
  <c r="J355" i="1"/>
  <c r="O355" i="1" l="1"/>
  <c r="D356" i="1" s="1"/>
  <c r="K355" i="1"/>
  <c r="M355" i="1" s="1"/>
  <c r="N367" i="1" s="1"/>
  <c r="E356" i="1" l="1"/>
  <c r="G356" i="1"/>
  <c r="H356" i="1" s="1"/>
  <c r="I356" i="1" l="1"/>
  <c r="P356" i="1" s="1"/>
  <c r="Q356" i="1" s="1"/>
  <c r="J356" i="1"/>
  <c r="O356" i="1" s="1"/>
  <c r="D357" i="1" s="1"/>
  <c r="E357" i="1" l="1"/>
  <c r="G357" i="1"/>
  <c r="H357" i="1" s="1"/>
  <c r="K356" i="1"/>
  <c r="M356" i="1" s="1"/>
  <c r="N368" i="1" s="1"/>
  <c r="I357" i="1" l="1"/>
  <c r="P357" i="1" s="1"/>
  <c r="Q357" i="1" s="1"/>
  <c r="J357" i="1"/>
  <c r="K357" i="1" l="1"/>
  <c r="M357" i="1" s="1"/>
  <c r="N369" i="1" s="1"/>
  <c r="O357" i="1"/>
  <c r="D358" i="1" s="1"/>
  <c r="E358" i="1" l="1"/>
  <c r="G358" i="1"/>
  <c r="H358" i="1" s="1"/>
  <c r="I358" i="1" s="1"/>
  <c r="J358" i="1" s="1"/>
  <c r="K358" i="1" l="1"/>
  <c r="M358" i="1" s="1"/>
  <c r="N370" i="1" s="1"/>
  <c r="P358" i="1"/>
  <c r="Q358" i="1" s="1"/>
  <c r="O358" i="1"/>
  <c r="D359" i="1" s="1"/>
  <c r="E359" i="1" l="1"/>
  <c r="G359" i="1"/>
  <c r="H359" i="1" s="1"/>
  <c r="I359" i="1" s="1"/>
  <c r="J359" i="1" s="1"/>
  <c r="K359" i="1" l="1"/>
  <c r="M359" i="1" s="1"/>
  <c r="N371" i="1" s="1"/>
  <c r="P359" i="1"/>
  <c r="Q359" i="1" s="1"/>
  <c r="O359" i="1"/>
  <c r="D360" i="1" s="1"/>
  <c r="E360" i="1" l="1"/>
  <c r="G360" i="1"/>
  <c r="H360" i="1" s="1"/>
  <c r="I360" i="1" l="1"/>
  <c r="J360" i="1" s="1"/>
  <c r="O360" i="1" s="1"/>
  <c r="D361" i="1" s="1"/>
  <c r="E361" i="1" l="1"/>
  <c r="G361" i="1"/>
  <c r="H361" i="1" s="1"/>
  <c r="K360" i="1"/>
  <c r="M360" i="1" s="1"/>
  <c r="N372" i="1" s="1"/>
  <c r="P360" i="1"/>
  <c r="Q360" i="1" s="1"/>
  <c r="I361" i="1" l="1"/>
  <c r="P361" i="1" s="1"/>
  <c r="Q361" i="1" s="1"/>
  <c r="J361" i="1"/>
  <c r="K361" i="1" l="1"/>
  <c r="M361" i="1" s="1"/>
  <c r="N373" i="1" s="1"/>
  <c r="O361" i="1"/>
  <c r="D362" i="1" s="1"/>
  <c r="E362" i="1" l="1"/>
  <c r="G362" i="1"/>
  <c r="H362" i="1" s="1"/>
  <c r="I362" i="1" l="1"/>
  <c r="J362" i="1" s="1"/>
  <c r="O362" i="1" s="1"/>
  <c r="D363" i="1" s="1"/>
  <c r="E363" i="1" l="1"/>
  <c r="G363" i="1"/>
  <c r="H363" i="1" s="1"/>
  <c r="K362" i="1"/>
  <c r="M362" i="1" s="1"/>
  <c r="N374" i="1" s="1"/>
  <c r="P362" i="1"/>
  <c r="Q362" i="1" s="1"/>
  <c r="I363" i="1" l="1"/>
  <c r="J363" i="1" s="1"/>
  <c r="K363" i="1" l="1"/>
  <c r="M363" i="1" s="1"/>
  <c r="N375" i="1" s="1"/>
  <c r="O363" i="1"/>
  <c r="D364" i="1" s="1"/>
  <c r="P363" i="1"/>
  <c r="Q363" i="1" s="1"/>
  <c r="E364" i="1" l="1"/>
  <c r="G364" i="1"/>
  <c r="H364" i="1" s="1"/>
  <c r="I364" i="1" l="1"/>
  <c r="P364" i="1" s="1"/>
  <c r="Q364" i="1" s="1"/>
  <c r="J364" i="1"/>
  <c r="K364" i="1" l="1"/>
  <c r="M364" i="1" s="1"/>
  <c r="N376" i="1" s="1"/>
  <c r="O364" i="1"/>
  <c r="D365" i="1" s="1"/>
  <c r="E365" i="1" l="1"/>
  <c r="G365" i="1"/>
  <c r="H365" i="1" s="1"/>
  <c r="I365" i="1" l="1"/>
  <c r="J365" i="1" s="1"/>
  <c r="O365" i="1" s="1"/>
  <c r="D366" i="1" s="1"/>
  <c r="E366" i="1" l="1"/>
  <c r="G366" i="1"/>
  <c r="H366" i="1" s="1"/>
  <c r="K365" i="1"/>
  <c r="M365" i="1" s="1"/>
  <c r="N377" i="1" s="1"/>
  <c r="P365" i="1"/>
  <c r="Q365" i="1" s="1"/>
  <c r="J366" i="1" l="1"/>
  <c r="I366" i="1"/>
  <c r="P366" i="1" s="1"/>
  <c r="Q366" i="1" s="1"/>
  <c r="O366" i="1" l="1"/>
  <c r="D367" i="1" s="1"/>
  <c r="E367" i="1"/>
  <c r="G367" i="1"/>
  <c r="H367" i="1" s="1"/>
  <c r="I367" i="1" s="1"/>
  <c r="K366" i="1"/>
  <c r="M366" i="1" s="1"/>
  <c r="N378" i="1" s="1"/>
  <c r="P367" i="1" l="1"/>
  <c r="Q367" i="1" s="1"/>
  <c r="J367" i="1"/>
  <c r="K367" i="1" l="1"/>
  <c r="M367" i="1" s="1"/>
  <c r="N379" i="1" s="1"/>
  <c r="O367" i="1"/>
  <c r="D368" i="1" s="1"/>
  <c r="E368" i="1" l="1"/>
  <c r="G368" i="1"/>
  <c r="H368" i="1" s="1"/>
  <c r="I368" i="1" l="1"/>
  <c r="J368" i="1" s="1"/>
  <c r="O368" i="1" s="1"/>
  <c r="D369" i="1" s="1"/>
  <c r="E369" i="1" l="1"/>
  <c r="G369" i="1"/>
  <c r="H369" i="1" s="1"/>
  <c r="K368" i="1"/>
  <c r="M368" i="1" s="1"/>
  <c r="N380" i="1" s="1"/>
  <c r="P368" i="1"/>
  <c r="Q368" i="1" s="1"/>
  <c r="I369" i="1" l="1"/>
  <c r="J369" i="1"/>
  <c r="O369" i="1" l="1"/>
  <c r="D370" i="1" s="1"/>
  <c r="E370" i="1"/>
  <c r="G370" i="1"/>
  <c r="H370" i="1" s="1"/>
  <c r="I370" i="1" s="1"/>
  <c r="J370" i="1" s="1"/>
  <c r="K369" i="1"/>
  <c r="M369" i="1" s="1"/>
  <c r="N381" i="1" s="1"/>
  <c r="P369" i="1"/>
  <c r="Q369" i="1" s="1"/>
  <c r="K370" i="1" l="1"/>
  <c r="M370" i="1" s="1"/>
  <c r="N382" i="1" s="1"/>
  <c r="P370" i="1"/>
  <c r="Q370" i="1" s="1"/>
  <c r="O370" i="1"/>
  <c r="D371" i="1" s="1"/>
  <c r="E371" i="1" l="1"/>
  <c r="G371" i="1"/>
  <c r="H371" i="1" s="1"/>
  <c r="I371" i="1" l="1"/>
  <c r="P371" i="1" s="1"/>
  <c r="Q371" i="1" s="1"/>
  <c r="J371" i="1"/>
  <c r="O371" i="1" l="1"/>
  <c r="D372" i="1" s="1"/>
  <c r="K371" i="1"/>
  <c r="M371" i="1" s="1"/>
  <c r="N383" i="1" s="1"/>
  <c r="E372" i="1" l="1"/>
  <c r="G372" i="1"/>
  <c r="H372" i="1" s="1"/>
  <c r="I372" i="1" l="1"/>
  <c r="P372" i="1" s="1"/>
  <c r="Q372" i="1" s="1"/>
  <c r="J372" i="1"/>
  <c r="O372" i="1" s="1"/>
  <c r="D373" i="1" s="1"/>
  <c r="E373" i="1" l="1"/>
  <c r="G373" i="1"/>
  <c r="H373" i="1" s="1"/>
  <c r="K372" i="1"/>
  <c r="M372" i="1" s="1"/>
  <c r="N384" i="1" s="1"/>
  <c r="I373" i="1" l="1"/>
  <c r="J373" i="1" s="1"/>
  <c r="O373" i="1" s="1"/>
  <c r="D374" i="1" s="1"/>
  <c r="E374" i="1" l="1"/>
  <c r="G374" i="1"/>
  <c r="H374" i="1" s="1"/>
  <c r="K373" i="1"/>
  <c r="M373" i="1" s="1"/>
  <c r="N385" i="1" s="1"/>
  <c r="P373" i="1"/>
  <c r="Q373" i="1" s="1"/>
  <c r="I374" i="1" l="1"/>
  <c r="J374" i="1" s="1"/>
  <c r="O374" i="1" s="1"/>
  <c r="D375" i="1" s="1"/>
  <c r="E375" i="1" l="1"/>
  <c r="G375" i="1"/>
  <c r="H375" i="1" s="1"/>
  <c r="K374" i="1"/>
  <c r="M374" i="1" s="1"/>
  <c r="P374" i="1"/>
  <c r="Q374" i="1" s="1"/>
  <c r="I375" i="1" l="1"/>
  <c r="P375" i="1" s="1"/>
  <c r="Q375" i="1" s="1"/>
  <c r="J375" i="1"/>
  <c r="K375" i="1" l="1"/>
  <c r="M375" i="1" s="1"/>
  <c r="O375" i="1"/>
  <c r="D376" i="1" s="1"/>
  <c r="E376" i="1" l="1"/>
  <c r="G376" i="1"/>
  <c r="H376" i="1" s="1"/>
  <c r="I376" i="1" l="1"/>
  <c r="J376" i="1" s="1"/>
  <c r="O376" i="1" s="1"/>
  <c r="D377" i="1" s="1"/>
  <c r="E377" i="1" l="1"/>
  <c r="G377" i="1"/>
  <c r="H377" i="1" s="1"/>
  <c r="I377" i="1" s="1"/>
  <c r="K376" i="1"/>
  <c r="M376" i="1" s="1"/>
  <c r="P376" i="1"/>
  <c r="Q376" i="1" s="1"/>
  <c r="P377" i="1" l="1"/>
  <c r="Q377" i="1" s="1"/>
  <c r="J377" i="1"/>
  <c r="K377" i="1" l="1"/>
  <c r="M377" i="1" s="1"/>
  <c r="O377" i="1"/>
  <c r="D378" i="1" s="1"/>
  <c r="E378" i="1" l="1"/>
  <c r="G378" i="1"/>
  <c r="H378" i="1" s="1"/>
  <c r="I378" i="1" l="1"/>
  <c r="J378" i="1" s="1"/>
  <c r="O378" i="1" s="1"/>
  <c r="D379" i="1" s="1"/>
  <c r="E379" i="1" l="1"/>
  <c r="G379" i="1"/>
  <c r="H379" i="1" s="1"/>
  <c r="K378" i="1"/>
  <c r="M378" i="1" s="1"/>
  <c r="P378" i="1"/>
  <c r="Q378" i="1" s="1"/>
  <c r="I379" i="1" l="1"/>
  <c r="J379" i="1" s="1"/>
  <c r="O379" i="1" s="1"/>
  <c r="D380" i="1" s="1"/>
  <c r="E380" i="1" l="1"/>
  <c r="G380" i="1"/>
  <c r="H380" i="1" s="1"/>
  <c r="K379" i="1"/>
  <c r="M379" i="1" s="1"/>
  <c r="P379" i="1"/>
  <c r="Q379" i="1" s="1"/>
  <c r="I380" i="1" l="1"/>
  <c r="P380" i="1" s="1"/>
  <c r="Q380" i="1" s="1"/>
  <c r="J380" i="1"/>
  <c r="O380" i="1" s="1"/>
  <c r="D381" i="1" s="1"/>
  <c r="E381" i="1" l="1"/>
  <c r="G381" i="1"/>
  <c r="H381" i="1" s="1"/>
  <c r="K380" i="1"/>
  <c r="M380" i="1" s="1"/>
  <c r="I381" i="1" l="1"/>
  <c r="J381" i="1" s="1"/>
  <c r="O381" i="1" s="1"/>
  <c r="D382" i="1" s="1"/>
  <c r="E382" i="1" l="1"/>
  <c r="G382" i="1"/>
  <c r="H382" i="1" s="1"/>
  <c r="K381" i="1"/>
  <c r="M381" i="1" s="1"/>
  <c r="P381" i="1"/>
  <c r="Q381" i="1" s="1"/>
  <c r="I382" i="1" l="1"/>
  <c r="J382" i="1" s="1"/>
  <c r="K382" i="1" l="1"/>
  <c r="M382" i="1" s="1"/>
  <c r="O382" i="1"/>
  <c r="D383" i="1" s="1"/>
  <c r="P382" i="1"/>
  <c r="Q382" i="1" s="1"/>
  <c r="E383" i="1" l="1"/>
  <c r="G383" i="1"/>
  <c r="H383" i="1" s="1"/>
  <c r="I383" i="1" s="1"/>
  <c r="J383" i="1" s="1"/>
  <c r="K383" i="1" l="1"/>
  <c r="M383" i="1" s="1"/>
  <c r="P383" i="1"/>
  <c r="Q383" i="1" s="1"/>
  <c r="O383" i="1"/>
  <c r="D384" i="1" s="1"/>
  <c r="E384" i="1" l="1"/>
  <c r="G384" i="1"/>
  <c r="H384" i="1" s="1"/>
  <c r="I384" i="1" l="1"/>
  <c r="J384" i="1" s="1"/>
  <c r="O384" i="1" s="1"/>
  <c r="D385" i="1" s="1"/>
  <c r="E385" i="1" l="1"/>
  <c r="G385" i="1"/>
  <c r="H385" i="1" s="1"/>
  <c r="K384" i="1"/>
  <c r="M384" i="1" s="1"/>
  <c r="P384" i="1"/>
  <c r="Q384" i="1" s="1"/>
  <c r="I385" i="1" l="1"/>
  <c r="J385" i="1"/>
  <c r="O385" i="1" l="1"/>
  <c r="K385" i="1"/>
  <c r="M385" i="1" s="1"/>
  <c r="N18" i="1" s="1"/>
  <c r="P18" i="1" s="1"/>
  <c r="Q18" i="1" s="1"/>
  <c r="M2" i="1" s="1"/>
  <c r="M4" i="1" s="1"/>
  <c r="P385" i="1"/>
  <c r="Q385" i="1" s="1"/>
  <c r="M5" i="1" l="1"/>
  <c r="M8" i="1"/>
  <c r="M9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Kevin Abbas</author>
  </authors>
  <commentList>
    <comment ref="M3" authorId="0" shapeId="0" xr:uid="{52C7B5B7-6D57-4CDC-8EC5-111E9A9B3388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Leave blank if not using the Amortized Cost approach in E9</t>
        </r>
      </text>
    </comment>
    <comment ref="J7" authorId="0" shapeId="0" xr:uid="{97F724E2-1ED2-49AC-BDFD-5C9F136FCD63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calculated via the macro within the Run Amortized Cost Basis (think goal seek)</t>
        </r>
      </text>
    </comment>
    <comment ref="C8" authorId="0" shapeId="0" xr:uid="{99612423-9A2D-4EA5-B897-6B5C2C5930A6}">
      <text>
        <r>
          <rPr>
            <b/>
            <sz val="9"/>
            <color indexed="81"/>
            <rFont val="Tahoma"/>
            <family val="2"/>
          </rPr>
          <t>Kevin Abbas:</t>
        </r>
        <r>
          <rPr>
            <sz val="9"/>
            <color indexed="81"/>
            <rFont val="Tahoma"/>
            <family val="2"/>
          </rPr>
          <t xml:space="preserve">
Forecasts for up to 20 quarters are presently supported. 
</t>
        </r>
      </text>
    </comment>
  </commentList>
</comments>
</file>

<file path=xl/sharedStrings.xml><?xml version="1.0" encoding="utf-8"?>
<sst xmlns="http://schemas.openxmlformats.org/spreadsheetml/2006/main" count="68" uniqueCount="64">
  <si>
    <t>Loan Balance</t>
  </si>
  <si>
    <t>PD</t>
  </si>
  <si>
    <t>Section for handling discount rates</t>
  </si>
  <si>
    <t>NPV of Cash Flows</t>
  </si>
  <si>
    <t>Loan Type</t>
  </si>
  <si>
    <t>Fixed Payment</t>
  </si>
  <si>
    <t>Monthly PD</t>
  </si>
  <si>
    <t>Amortization Multiplier</t>
  </si>
  <si>
    <t>Unamortized Amount</t>
  </si>
  <si>
    <t>Remaining Term</t>
  </si>
  <si>
    <t>LGD</t>
  </si>
  <si>
    <t>Calculated Discount Rate</t>
  </si>
  <si>
    <t>Reserve Amount</t>
  </si>
  <si>
    <t>Interest Rate</t>
  </si>
  <si>
    <t>OR</t>
  </si>
  <si>
    <t>ACB Calculated Rate</t>
  </si>
  <si>
    <t>Reserve %</t>
  </si>
  <si>
    <t>Payment</t>
  </si>
  <si>
    <t>Prepayment Rate</t>
  </si>
  <si>
    <t>Manual Discount Rate</t>
  </si>
  <si>
    <t>Amortization Days</t>
  </si>
  <si>
    <t>Actual 360</t>
  </si>
  <si>
    <t>SMM</t>
  </si>
  <si>
    <t>ACB As Percent</t>
  </si>
  <si>
    <t>Abrigo Reserve</t>
  </si>
  <si>
    <t>Forecast PD</t>
  </si>
  <si>
    <t>Yes</t>
  </si>
  <si>
    <t>Curtailment Rate</t>
  </si>
  <si>
    <t>Discount Source</t>
  </si>
  <si>
    <t>Manually Entered</t>
  </si>
  <si>
    <t>Variance ($)</t>
  </si>
  <si>
    <t>Forecast LGD</t>
  </si>
  <si>
    <t>Recovery Lag</t>
  </si>
  <si>
    <t>Variance (%)</t>
  </si>
  <si>
    <t>Forecast Prepay</t>
  </si>
  <si>
    <t>No</t>
  </si>
  <si>
    <t>Periods</t>
  </si>
  <si>
    <t>Forecast Curtail</t>
  </si>
  <si>
    <t>Loan Number</t>
  </si>
  <si>
    <t>Calculation Date</t>
  </si>
  <si>
    <t>Segment</t>
  </si>
  <si>
    <t>CRE - Nonowner Occupied</t>
  </si>
  <si>
    <t>Reamortize Each Period</t>
  </si>
  <si>
    <t xml:space="preserve"> </t>
  </si>
  <si>
    <t>Inferred Am through</t>
  </si>
  <si>
    <t>Date</t>
  </si>
  <si>
    <t>Period</t>
  </si>
  <si>
    <t>Beginning Balance</t>
  </si>
  <si>
    <t>Interest</t>
  </si>
  <si>
    <t>Am Thru</t>
  </si>
  <si>
    <t>Payment Amount (Reamortized)</t>
  </si>
  <si>
    <t>Principal</t>
  </si>
  <si>
    <t>Prepayments</t>
  </si>
  <si>
    <t>Defaulted Principal</t>
  </si>
  <si>
    <t>Estimated Loss</t>
  </si>
  <si>
    <t>Estimated Recovery Period</t>
  </si>
  <si>
    <t>Available to Recover</t>
  </si>
  <si>
    <t>RecoveredAmount</t>
  </si>
  <si>
    <t>End of month Balance</t>
  </si>
  <si>
    <t>Cash Flow</t>
  </si>
  <si>
    <t>Present Value</t>
  </si>
  <si>
    <t>Days in month</t>
  </si>
  <si>
    <t>Running Total</t>
  </si>
  <si>
    <t>Monthly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</si>
</sst>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%"/>
    <numFmt numFmtId="165" formatCode="0.00000%"/>
    <numFmt numFmtId="166" formatCode="_(* #,##0.0000_);_(* \(#,##0.0000\);_(* &quot;-&quot;??_);_(@_)"/>
    <numFmt numFmtId="167" formatCode="_(&quot;$&quot;* #,##0_);_(&quot;$&quot;* \(#,##0\);_(&quot;$&quot;* &quot;-&quot;??_);_(@_)"/>
    <numFmt numFmtId="168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5FC9C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6">
    <xf numFmtId="0" fontId="0" fillId="0" borderId="0" xfId="0"/>
    <xf numFmtId="0" fontId="2" fillId="0" borderId="0" xfId="0" applyFont="1" applyAlignment="1">
      <alignment horizontal="right"/>
    </xf>
    <xf numFmtId="44" fontId="3" fillId="0" borderId="0" xfId="2" applyFont="1" applyAlignment="1" applyProtection="1">
      <alignment horizontal="right"/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0" fontId="4" fillId="0" borderId="0" xfId="0" applyFont="1"/>
    <xf numFmtId="0" fontId="2" fillId="0" borderId="1" xfId="0" applyFont="1" applyBorder="1" applyAlignment="1">
      <alignment horizontal="center"/>
    </xf>
    <xf numFmtId="43" fontId="3" fillId="0" borderId="0" xfId="1" applyFont="1" applyAlignment="1">
      <alignment horizontal="right"/>
    </xf>
    <xf numFmtId="0" fontId="3" fillId="2" borderId="0" xfId="0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>
      <alignment horizontal="right"/>
    </xf>
    <xf numFmtId="165" fontId="3" fillId="0" borderId="0" xfId="3" applyNumberFormat="1" applyFont="1" applyAlignment="1">
      <alignment horizontal="right"/>
    </xf>
    <xf numFmtId="0" fontId="3" fillId="0" borderId="0" xfId="0" applyFont="1" applyAlignment="1">
      <alignment horizontal="right"/>
    </xf>
    <xf numFmtId="166" fontId="3" fillId="0" borderId="0" xfId="1" applyNumberFormat="1" applyFont="1" applyAlignment="1">
      <alignment horizontal="right"/>
    </xf>
    <xf numFmtId="43" fontId="3" fillId="2" borderId="0" xfId="1" applyFont="1" applyFill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9" fontId="3" fillId="0" borderId="0" xfId="0" applyNumberFormat="1" applyFont="1" applyAlignment="1" applyProtection="1">
      <alignment horizontal="right"/>
      <protection locked="0"/>
    </xf>
    <xf numFmtId="164" fontId="3" fillId="0" borderId="0" xfId="3" applyNumberFormat="1" applyFont="1" applyAlignment="1">
      <alignment horizontal="right"/>
    </xf>
    <xf numFmtId="164" fontId="3" fillId="2" borderId="0" xfId="0" applyNumberFormat="1" applyFont="1" applyFill="1" applyAlignment="1" applyProtection="1">
      <alignment horizontal="right"/>
      <protection locked="0"/>
    </xf>
    <xf numFmtId="0" fontId="5" fillId="0" borderId="0" xfId="0" applyFont="1"/>
    <xf numFmtId="0" fontId="4" fillId="0" borderId="0" xfId="0" applyFont="1" applyAlignment="1">
      <alignment horizontal="right"/>
    </xf>
    <xf numFmtId="0" fontId="2" fillId="0" borderId="0" xfId="0" applyFont="1" applyAlignment="1">
      <alignment horizontal="left"/>
    </xf>
    <xf numFmtId="164" fontId="3" fillId="2" borderId="0" xfId="3" applyNumberFormat="1" applyFont="1" applyFill="1" applyAlignment="1" applyProtection="1">
      <alignment horizontal="right"/>
      <protection locked="0"/>
    </xf>
    <xf numFmtId="164" fontId="3" fillId="0" borderId="0" xfId="3" applyNumberFormat="1" applyFont="1" applyFill="1" applyAlignment="1" applyProtection="1">
      <alignment horizontal="right"/>
      <protection locked="0"/>
    </xf>
    <xf numFmtId="8" fontId="3" fillId="2" borderId="0" xfId="1" applyNumberFormat="1" applyFont="1" applyFill="1" applyAlignment="1">
      <alignment horizontal="right"/>
    </xf>
    <xf numFmtId="0" fontId="5" fillId="0" borderId="0" xfId="0" applyFont="1" applyAlignment="1">
      <alignment vertical="top"/>
    </xf>
    <xf numFmtId="10" fontId="3" fillId="0" borderId="0" xfId="0" applyNumberFormat="1" applyFont="1" applyAlignment="1" applyProtection="1">
      <alignment horizontal="right"/>
      <protection locked="0"/>
    </xf>
    <xf numFmtId="43" fontId="3" fillId="0" borderId="0" xfId="0" applyNumberFormat="1" applyFont="1" applyAlignment="1">
      <alignment horizontal="right"/>
    </xf>
    <xf numFmtId="0" fontId="3" fillId="2" borderId="0" xfId="0" applyFont="1" applyFill="1" applyAlignment="1">
      <alignment horizontal="right"/>
    </xf>
    <xf numFmtId="10" fontId="3" fillId="0" borderId="0" xfId="3" applyNumberFormat="1" applyFont="1" applyAlignment="1">
      <alignment horizontal="right"/>
    </xf>
    <xf numFmtId="0" fontId="4" fillId="2" borderId="0" xfId="0" applyFont="1" applyFill="1"/>
    <xf numFmtId="43" fontId="4" fillId="0" borderId="0" xfId="0" applyNumberFormat="1" applyFont="1" applyAlignment="1">
      <alignment horizontal="right"/>
    </xf>
    <xf numFmtId="164" fontId="4" fillId="0" borderId="0" xfId="3" applyNumberFormat="1" applyFont="1"/>
    <xf numFmtId="164" fontId="4" fillId="0" borderId="0" xfId="0" applyNumberFormat="1" applyFont="1"/>
    <xf numFmtId="43" fontId="4" fillId="0" borderId="0" xfId="1" applyFont="1"/>
    <xf numFmtId="1" fontId="6" fillId="0" borderId="0" xfId="0" applyNumberFormat="1" applyFont="1"/>
    <xf numFmtId="14" fontId="4" fillId="0" borderId="0" xfId="0" applyNumberFormat="1" applyFont="1" applyProtection="1">
      <protection locked="0"/>
    </xf>
    <xf numFmtId="44" fontId="4" fillId="0" borderId="0" xfId="2" applyFont="1" applyFill="1"/>
    <xf numFmtId="10" fontId="4" fillId="0" borderId="0" xfId="0" applyNumberFormat="1" applyFont="1"/>
    <xf numFmtId="167" fontId="4" fillId="0" borderId="2" xfId="2" applyNumberFormat="1" applyFont="1" applyBorder="1"/>
    <xf numFmtId="168" fontId="4" fillId="0" borderId="0" xfId="0" applyNumberFormat="1" applyFont="1" applyAlignment="1">
      <alignment horizontal="right"/>
    </xf>
    <xf numFmtId="44" fontId="4" fillId="0" borderId="0" xfId="2" applyFont="1"/>
    <xf numFmtId="167" fontId="4" fillId="0" borderId="0" xfId="2" applyNumberFormat="1" applyFont="1"/>
    <xf numFmtId="14" fontId="4" fillId="0" borderId="0" xfId="0" applyNumberFormat="1" applyFont="1"/>
    <xf numFmtId="43" fontId="4" fillId="3" borderId="0" xfId="1" applyFont="1" applyFill="1"/>
    <xf numFmtId="43" fontId="4" fillId="0" borderId="0" xfId="1" applyFont="1" applyFill="1"/>
    <xf numFmtId="43" fontId="4" fillId="0" borderId="0" xfId="1" applyFont="1" applyFill="1" applyAlignment="1">
      <alignment horizontal="right"/>
    </xf>
    <xf numFmtId="43" fontId="4" fillId="0" borderId="0" xfId="1" applyFont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2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9" formatCode="m/d/yyyy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rgb="FF000000"/>
        <name val="Calibri"/>
        <scheme val="none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17</xdr:col>
      <xdr:colOff>704850</xdr:colOff>
      <xdr:row>12</xdr:row>
      <xdr:rowOff>66628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8863E04-3276-4494-8BDD-12A32CDF7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55115" y="0"/>
          <a:ext cx="4261485" cy="187637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achura\Downloads\3.2%20Technical%20Implementation%20Testing%20-%20DCF%20Replication%20CRE%20-%20NOO%20(2).xlsm" TargetMode="External"/><Relationship Id="rId1" Type="http://schemas.openxmlformats.org/officeDocument/2006/relationships/externalLinkPath" Target="file:///C:\Users\rachura\Downloads\3.2%20Technical%20Implementation%20Testing%20-%20DCF%20Replication%20CRE%20-%20NOO%20(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Lead Sheet"/>
      <sheetName val="Forecast"/>
      <sheetName val="Summary"/>
      <sheetName val="DCF Calc"/>
      <sheetName val="Abrigo Results"/>
      <sheetName val="DCF Calc 2"/>
      <sheetName val="Abrigo Results 2"/>
      <sheetName val="DCF Calc 3"/>
      <sheetName val="Abrigo Results 3"/>
      <sheetName val="DCF Calc 4"/>
      <sheetName val="Abrigo Results 4"/>
      <sheetName val="DCF Calc 5"/>
      <sheetName val="Abrigo Results 5"/>
      <sheetName val="DCF Calc (Test)"/>
      <sheetName val="Inputs"/>
    </sheetNames>
    <sheetDataSet>
      <sheetData sheetId="0"/>
      <sheetData sheetId="1"/>
      <sheetData sheetId="2">
        <row r="2">
          <cell r="H2">
            <v>1</v>
          </cell>
          <cell r="I2">
            <v>4.55E-4</v>
          </cell>
          <cell r="J2">
            <v>7.8015000000000001E-2</v>
          </cell>
          <cell r="K2">
            <v>2.8530000000000001E-3</v>
          </cell>
          <cell r="L2">
            <v>1.75E-3</v>
          </cell>
        </row>
        <row r="3">
          <cell r="H3">
            <v>2</v>
          </cell>
          <cell r="I3">
            <v>4.55E-4</v>
          </cell>
          <cell r="J3">
            <v>7.8015000000000001E-2</v>
          </cell>
          <cell r="K3">
            <v>2.8530000000000001E-3</v>
          </cell>
          <cell r="L3">
            <v>1.75E-3</v>
          </cell>
        </row>
        <row r="4">
          <cell r="H4">
            <v>3</v>
          </cell>
          <cell r="I4">
            <v>4.55E-4</v>
          </cell>
          <cell r="J4">
            <v>7.8015000000000001E-2</v>
          </cell>
          <cell r="K4">
            <v>2.8530000000000001E-3</v>
          </cell>
          <cell r="L4">
            <v>1.75E-3</v>
          </cell>
        </row>
        <row r="5">
          <cell r="H5">
            <v>4</v>
          </cell>
          <cell r="I5">
            <v>5.0100000000000003E-4</v>
          </cell>
          <cell r="J5">
            <v>7.9966999999999996E-2</v>
          </cell>
          <cell r="K5">
            <v>2.8530000000000001E-3</v>
          </cell>
          <cell r="L5">
            <v>1.75E-3</v>
          </cell>
        </row>
        <row r="6">
          <cell r="H6">
            <v>5</v>
          </cell>
          <cell r="I6">
            <v>5.0100000000000003E-4</v>
          </cell>
          <cell r="J6">
            <v>7.9966999999999996E-2</v>
          </cell>
          <cell r="K6">
            <v>2.8530000000000001E-3</v>
          </cell>
          <cell r="L6">
            <v>1.75E-3</v>
          </cell>
        </row>
        <row r="7">
          <cell r="H7">
            <v>6</v>
          </cell>
          <cell r="I7">
            <v>5.0100000000000003E-4</v>
          </cell>
          <cell r="J7">
            <v>7.9966999999999996E-2</v>
          </cell>
          <cell r="K7">
            <v>2.8530000000000001E-3</v>
          </cell>
          <cell r="L7">
            <v>1.75E-3</v>
          </cell>
        </row>
        <row r="8">
          <cell r="H8">
            <v>7</v>
          </cell>
          <cell r="I8">
            <v>4.9700000000000005E-4</v>
          </cell>
          <cell r="J8">
            <v>7.9778000000000002E-2</v>
          </cell>
          <cell r="K8">
            <v>2.8530000000000001E-3</v>
          </cell>
          <cell r="L8">
            <v>1.75E-3</v>
          </cell>
        </row>
        <row r="9">
          <cell r="H9">
            <v>8</v>
          </cell>
          <cell r="I9">
            <v>4.9700000000000005E-4</v>
          </cell>
          <cell r="J9">
            <v>7.9778000000000002E-2</v>
          </cell>
          <cell r="K9">
            <v>2.8530000000000001E-3</v>
          </cell>
          <cell r="L9">
            <v>1.75E-3</v>
          </cell>
        </row>
        <row r="10">
          <cell r="H10">
            <v>9</v>
          </cell>
          <cell r="I10">
            <v>4.9700000000000005E-4</v>
          </cell>
          <cell r="J10">
            <v>7.9778000000000002E-2</v>
          </cell>
          <cell r="K10">
            <v>2.8530000000000001E-3</v>
          </cell>
          <cell r="L10">
            <v>1.75E-3</v>
          </cell>
        </row>
        <row r="11">
          <cell r="H11">
            <v>10</v>
          </cell>
          <cell r="I11">
            <v>4.9200000000000003E-4</v>
          </cell>
          <cell r="J11">
            <v>7.9588000000000006E-2</v>
          </cell>
          <cell r="K11">
            <v>2.8530000000000001E-3</v>
          </cell>
          <cell r="L11">
            <v>1.75E-3</v>
          </cell>
        </row>
        <row r="12">
          <cell r="H12">
            <v>11</v>
          </cell>
          <cell r="I12">
            <v>4.9200000000000003E-4</v>
          </cell>
          <cell r="J12">
            <v>7.9588000000000006E-2</v>
          </cell>
          <cell r="K12">
            <v>2.8530000000000001E-3</v>
          </cell>
          <cell r="L12">
            <v>1.75E-3</v>
          </cell>
        </row>
        <row r="13">
          <cell r="H13">
            <v>12</v>
          </cell>
          <cell r="I13">
            <v>4.9200000000000003E-4</v>
          </cell>
          <cell r="J13">
            <v>7.9588000000000006E-2</v>
          </cell>
          <cell r="K13">
            <v>2.8530000000000001E-3</v>
          </cell>
          <cell r="L13">
            <v>1.75E-3</v>
          </cell>
        </row>
        <row r="14">
          <cell r="H14">
            <v>13</v>
          </cell>
          <cell r="I14">
            <v>5.1599999999999997E-4</v>
          </cell>
          <cell r="J14">
            <v>8.0562999999999996E-2</v>
          </cell>
          <cell r="K14">
            <v>2.8530000000000001E-3</v>
          </cell>
          <cell r="L14">
            <v>1.75E-3</v>
          </cell>
        </row>
        <row r="15">
          <cell r="H15">
            <v>14</v>
          </cell>
          <cell r="I15">
            <v>5.1599999999999997E-4</v>
          </cell>
          <cell r="J15">
            <v>8.0562999999999996E-2</v>
          </cell>
          <cell r="K15">
            <v>2.8530000000000001E-3</v>
          </cell>
          <cell r="L15">
            <v>1.75E-3</v>
          </cell>
        </row>
        <row r="16">
          <cell r="H16">
            <v>15</v>
          </cell>
          <cell r="I16">
            <v>5.1599999999999997E-4</v>
          </cell>
          <cell r="J16">
            <v>8.0562999999999996E-2</v>
          </cell>
          <cell r="K16">
            <v>2.8530000000000001E-3</v>
          </cell>
          <cell r="L16">
            <v>1.75E-3</v>
          </cell>
        </row>
        <row r="17">
          <cell r="H17">
            <v>16</v>
          </cell>
          <cell r="I17">
            <v>5.4000000000000001E-4</v>
          </cell>
          <cell r="J17">
            <v>8.1508999999999998E-2</v>
          </cell>
          <cell r="K17">
            <v>2.8530000000000001E-3</v>
          </cell>
          <cell r="L17">
            <v>1.75E-3</v>
          </cell>
        </row>
        <row r="18">
          <cell r="H18">
            <v>17</v>
          </cell>
          <cell r="I18">
            <v>5.4000000000000001E-4</v>
          </cell>
          <cell r="J18">
            <v>8.1508999999999998E-2</v>
          </cell>
          <cell r="K18">
            <v>2.8530000000000001E-3</v>
          </cell>
          <cell r="L18">
            <v>1.75E-3</v>
          </cell>
        </row>
        <row r="19">
          <cell r="H19">
            <v>18</v>
          </cell>
          <cell r="I19">
            <v>5.4000000000000001E-4</v>
          </cell>
          <cell r="J19">
            <v>8.1508999999999998E-2</v>
          </cell>
          <cell r="K19">
            <v>2.8530000000000001E-3</v>
          </cell>
          <cell r="L19">
            <v>1.75E-3</v>
          </cell>
        </row>
        <row r="20">
          <cell r="H20">
            <v>19</v>
          </cell>
          <cell r="I20">
            <v>5.6400000000000005E-4</v>
          </cell>
          <cell r="J20">
            <v>8.2429000000000002E-2</v>
          </cell>
          <cell r="K20">
            <v>2.8530000000000001E-3</v>
          </cell>
          <cell r="L20">
            <v>1.75E-3</v>
          </cell>
        </row>
        <row r="21">
          <cell r="H21">
            <v>20</v>
          </cell>
          <cell r="I21">
            <v>5.6400000000000005E-4</v>
          </cell>
          <cell r="J21">
            <v>8.2429000000000002E-2</v>
          </cell>
          <cell r="K21">
            <v>2.8530000000000001E-3</v>
          </cell>
          <cell r="L21">
            <v>1.75E-3</v>
          </cell>
        </row>
        <row r="22">
          <cell r="H22">
            <v>21</v>
          </cell>
          <cell r="I22">
            <v>5.6400000000000005E-4</v>
          </cell>
          <cell r="J22">
            <v>8.2429000000000002E-2</v>
          </cell>
          <cell r="K22">
            <v>2.8530000000000001E-3</v>
          </cell>
          <cell r="L22">
            <v>1.75E-3</v>
          </cell>
        </row>
        <row r="23">
          <cell r="H23">
            <v>22</v>
          </cell>
          <cell r="I23">
            <v>5.8799999999999998E-4</v>
          </cell>
          <cell r="J23">
            <v>8.3323999999999995E-2</v>
          </cell>
          <cell r="K23">
            <v>2.8530000000000001E-3</v>
          </cell>
          <cell r="L23">
            <v>1.75E-3</v>
          </cell>
        </row>
        <row r="24">
          <cell r="H24">
            <v>23</v>
          </cell>
          <cell r="I24">
            <v>5.8799999999999998E-4</v>
          </cell>
          <cell r="J24">
            <v>8.3323999999999995E-2</v>
          </cell>
          <cell r="K24">
            <v>2.8530000000000001E-3</v>
          </cell>
          <cell r="L24">
            <v>1.75E-3</v>
          </cell>
        </row>
        <row r="25">
          <cell r="H25">
            <v>24</v>
          </cell>
          <cell r="I25">
            <v>5.8799999999999998E-4</v>
          </cell>
          <cell r="J25">
            <v>8.3323999999999995E-2</v>
          </cell>
          <cell r="K25">
            <v>2.8530000000000001E-3</v>
          </cell>
          <cell r="L25">
            <v>1.75E-3</v>
          </cell>
        </row>
        <row r="26">
          <cell r="H26">
            <v>25</v>
          </cell>
          <cell r="I26">
            <v>6.11E-4</v>
          </cell>
          <cell r="J26">
            <v>8.4196999999999994E-2</v>
          </cell>
          <cell r="K26">
            <v>2.8530000000000001E-3</v>
          </cell>
          <cell r="L26">
            <v>1.75E-3</v>
          </cell>
        </row>
        <row r="27">
          <cell r="H27">
            <v>26</v>
          </cell>
          <cell r="I27">
            <v>6.11E-4</v>
          </cell>
          <cell r="J27">
            <v>8.4196999999999994E-2</v>
          </cell>
          <cell r="K27">
            <v>2.8530000000000001E-3</v>
          </cell>
          <cell r="L27">
            <v>1.75E-3</v>
          </cell>
        </row>
        <row r="28">
          <cell r="H28">
            <v>27</v>
          </cell>
          <cell r="I28">
            <v>6.11E-4</v>
          </cell>
          <cell r="J28">
            <v>8.4196999999999994E-2</v>
          </cell>
          <cell r="K28">
            <v>2.8530000000000001E-3</v>
          </cell>
          <cell r="L28">
            <v>1.75E-3</v>
          </cell>
        </row>
        <row r="29">
          <cell r="H29">
            <v>28</v>
          </cell>
          <cell r="I29">
            <v>6.3500000000000004E-4</v>
          </cell>
          <cell r="J29">
            <v>8.5049E-2</v>
          </cell>
          <cell r="K29">
            <v>2.8530000000000001E-3</v>
          </cell>
          <cell r="L29">
            <v>1.75E-3</v>
          </cell>
        </row>
        <row r="30">
          <cell r="H30">
            <v>29</v>
          </cell>
          <cell r="I30">
            <v>6.3500000000000004E-4</v>
          </cell>
          <cell r="J30">
            <v>8.5049E-2</v>
          </cell>
          <cell r="K30">
            <v>2.8530000000000001E-3</v>
          </cell>
          <cell r="L30">
            <v>1.75E-3</v>
          </cell>
        </row>
        <row r="31">
          <cell r="H31">
            <v>30</v>
          </cell>
          <cell r="I31">
            <v>6.3500000000000004E-4</v>
          </cell>
          <cell r="J31">
            <v>8.5049E-2</v>
          </cell>
          <cell r="K31">
            <v>2.8530000000000001E-3</v>
          </cell>
          <cell r="L31">
            <v>1.75E-3</v>
          </cell>
        </row>
        <row r="32">
          <cell r="H32">
            <v>31</v>
          </cell>
          <cell r="I32">
            <v>6.5899999999999997E-4</v>
          </cell>
          <cell r="J32">
            <v>8.5880999999999999E-2</v>
          </cell>
          <cell r="K32">
            <v>2.8530000000000001E-3</v>
          </cell>
          <cell r="L32">
            <v>1.75E-3</v>
          </cell>
        </row>
        <row r="33">
          <cell r="H33">
            <v>32</v>
          </cell>
          <cell r="I33">
            <v>6.5899999999999997E-4</v>
          </cell>
          <cell r="J33">
            <v>8.5880999999999999E-2</v>
          </cell>
          <cell r="K33">
            <v>2.8530000000000001E-3</v>
          </cell>
          <cell r="L33">
            <v>1.75E-3</v>
          </cell>
        </row>
        <row r="34">
          <cell r="H34">
            <v>33</v>
          </cell>
          <cell r="I34">
            <v>6.5899999999999997E-4</v>
          </cell>
          <cell r="J34">
            <v>8.5880999999999999E-2</v>
          </cell>
          <cell r="K34">
            <v>2.8530000000000001E-3</v>
          </cell>
          <cell r="L34">
            <v>1.75E-3</v>
          </cell>
        </row>
        <row r="35">
          <cell r="H35">
            <v>34</v>
          </cell>
          <cell r="I35">
            <v>6.8300000000000001E-4</v>
          </cell>
          <cell r="J35">
            <v>8.6693999999999993E-2</v>
          </cell>
          <cell r="K35">
            <v>2.8530000000000001E-3</v>
          </cell>
          <cell r="L35">
            <v>1.75E-3</v>
          </cell>
        </row>
        <row r="36">
          <cell r="H36">
            <v>35</v>
          </cell>
          <cell r="I36">
            <v>6.8300000000000001E-4</v>
          </cell>
          <cell r="J36">
            <v>8.6693999999999993E-2</v>
          </cell>
          <cell r="K36">
            <v>2.8530000000000001E-3</v>
          </cell>
          <cell r="L36">
            <v>1.75E-3</v>
          </cell>
        </row>
        <row r="37">
          <cell r="H37">
            <v>36</v>
          </cell>
          <cell r="I37">
            <v>6.8300000000000001E-4</v>
          </cell>
          <cell r="J37">
            <v>8.6693999999999993E-2</v>
          </cell>
          <cell r="K37">
            <v>2.8530000000000001E-3</v>
          </cell>
          <cell r="L37">
            <v>1.75E-3</v>
          </cell>
        </row>
        <row r="38">
          <cell r="H38">
            <v>37</v>
          </cell>
          <cell r="I38">
            <v>6.8300000000000001E-4</v>
          </cell>
          <cell r="J38">
            <v>8.6693999999999993E-2</v>
          </cell>
          <cell r="K38">
            <v>2.8530000000000001E-3</v>
          </cell>
          <cell r="L38">
            <v>1.75E-3</v>
          </cell>
        </row>
        <row r="39">
          <cell r="H39">
            <v>38</v>
          </cell>
          <cell r="I39">
            <v>6.8300000000000001E-4</v>
          </cell>
          <cell r="J39">
            <v>8.6693999999999993E-2</v>
          </cell>
          <cell r="K39">
            <v>2.8530000000000001E-3</v>
          </cell>
          <cell r="L39">
            <v>1.75E-3</v>
          </cell>
        </row>
        <row r="40">
          <cell r="H40">
            <v>39</v>
          </cell>
          <cell r="I40">
            <v>6.8300000000000001E-4</v>
          </cell>
          <cell r="J40">
            <v>8.6693999999999993E-2</v>
          </cell>
          <cell r="K40">
            <v>2.8530000000000001E-3</v>
          </cell>
          <cell r="L40">
            <v>1.75E-3</v>
          </cell>
        </row>
        <row r="41">
          <cell r="H41">
            <v>40</v>
          </cell>
          <cell r="I41">
            <v>6.8300000000000001E-4</v>
          </cell>
          <cell r="J41">
            <v>8.6693999999999993E-2</v>
          </cell>
          <cell r="K41">
            <v>2.8530000000000001E-3</v>
          </cell>
          <cell r="L41">
            <v>1.75E-3</v>
          </cell>
        </row>
        <row r="42">
          <cell r="H42">
            <v>41</v>
          </cell>
          <cell r="I42">
            <v>6.8300000000000001E-4</v>
          </cell>
          <cell r="J42">
            <v>8.6693999999999993E-2</v>
          </cell>
          <cell r="K42">
            <v>2.8530000000000001E-3</v>
          </cell>
          <cell r="L42">
            <v>1.75E-3</v>
          </cell>
        </row>
        <row r="43">
          <cell r="H43">
            <v>42</v>
          </cell>
          <cell r="I43">
            <v>6.8300000000000001E-4</v>
          </cell>
          <cell r="J43">
            <v>8.6693999999999993E-2</v>
          </cell>
          <cell r="K43">
            <v>2.8530000000000001E-3</v>
          </cell>
          <cell r="L43">
            <v>1.75E-3</v>
          </cell>
        </row>
        <row r="44">
          <cell r="H44">
            <v>43</v>
          </cell>
          <cell r="I44">
            <v>6.8300000000000001E-4</v>
          </cell>
          <cell r="J44">
            <v>8.6693999999999993E-2</v>
          </cell>
          <cell r="K44">
            <v>2.8530000000000001E-3</v>
          </cell>
          <cell r="L44">
            <v>1.75E-3</v>
          </cell>
        </row>
        <row r="45">
          <cell r="H45">
            <v>44</v>
          </cell>
          <cell r="I45">
            <v>6.8300000000000001E-4</v>
          </cell>
          <cell r="J45">
            <v>8.6693999999999993E-2</v>
          </cell>
          <cell r="K45">
            <v>2.8530000000000001E-3</v>
          </cell>
          <cell r="L45">
            <v>1.75E-3</v>
          </cell>
        </row>
        <row r="46">
          <cell r="H46">
            <v>45</v>
          </cell>
          <cell r="I46">
            <v>6.8300000000000001E-4</v>
          </cell>
          <cell r="J46">
            <v>8.6693999999999993E-2</v>
          </cell>
          <cell r="K46">
            <v>2.8530000000000001E-3</v>
          </cell>
          <cell r="L46">
            <v>1.75E-3</v>
          </cell>
        </row>
        <row r="47">
          <cell r="H47">
            <v>46</v>
          </cell>
          <cell r="I47">
            <v>6.8300000000000001E-4</v>
          </cell>
          <cell r="J47">
            <v>8.6693999999999993E-2</v>
          </cell>
          <cell r="K47">
            <v>2.8530000000000001E-3</v>
          </cell>
          <cell r="L47">
            <v>1.75E-3</v>
          </cell>
        </row>
        <row r="48">
          <cell r="H48">
            <v>47</v>
          </cell>
          <cell r="I48">
            <v>6.8300000000000001E-4</v>
          </cell>
          <cell r="J48">
            <v>8.6693999999999993E-2</v>
          </cell>
          <cell r="K48">
            <v>2.8530000000000001E-3</v>
          </cell>
          <cell r="L48">
            <v>1.75E-3</v>
          </cell>
        </row>
        <row r="49">
          <cell r="H49">
            <v>48</v>
          </cell>
          <cell r="I49">
            <v>6.8300000000000001E-4</v>
          </cell>
          <cell r="J49">
            <v>8.6693999999999993E-2</v>
          </cell>
          <cell r="K49">
            <v>2.8530000000000001E-3</v>
          </cell>
          <cell r="L49">
            <v>1.75E-3</v>
          </cell>
        </row>
        <row r="50">
          <cell r="H50">
            <v>49</v>
          </cell>
          <cell r="I50">
            <v>6.8300000000000001E-4</v>
          </cell>
          <cell r="J50">
            <v>8.6693999999999993E-2</v>
          </cell>
          <cell r="K50">
            <v>2.8530000000000001E-3</v>
          </cell>
          <cell r="L50">
            <v>1.75E-3</v>
          </cell>
        </row>
        <row r="51">
          <cell r="H51">
            <v>50</v>
          </cell>
          <cell r="I51">
            <v>6.8300000000000001E-4</v>
          </cell>
          <cell r="J51">
            <v>8.6693999999999993E-2</v>
          </cell>
          <cell r="K51">
            <v>2.8530000000000001E-3</v>
          </cell>
          <cell r="L51">
            <v>1.75E-3</v>
          </cell>
        </row>
        <row r="52">
          <cell r="H52">
            <v>51</v>
          </cell>
          <cell r="I52">
            <v>6.8300000000000001E-4</v>
          </cell>
          <cell r="J52">
            <v>8.6693999999999993E-2</v>
          </cell>
          <cell r="K52">
            <v>2.8530000000000001E-3</v>
          </cell>
          <cell r="L52">
            <v>1.75E-3</v>
          </cell>
        </row>
        <row r="53">
          <cell r="H53">
            <v>52</v>
          </cell>
          <cell r="I53">
            <v>6.8300000000000001E-4</v>
          </cell>
          <cell r="J53">
            <v>8.6693999999999993E-2</v>
          </cell>
          <cell r="K53">
            <v>2.8530000000000001E-3</v>
          </cell>
          <cell r="L53">
            <v>1.75E-3</v>
          </cell>
        </row>
        <row r="54">
          <cell r="H54">
            <v>53</v>
          </cell>
          <cell r="I54">
            <v>6.8300000000000001E-4</v>
          </cell>
          <cell r="J54">
            <v>8.6693999999999993E-2</v>
          </cell>
          <cell r="K54">
            <v>2.8530000000000001E-3</v>
          </cell>
          <cell r="L54">
            <v>1.75E-3</v>
          </cell>
        </row>
        <row r="55">
          <cell r="H55">
            <v>54</v>
          </cell>
          <cell r="I55">
            <v>6.8300000000000001E-4</v>
          </cell>
          <cell r="J55">
            <v>8.6693999999999993E-2</v>
          </cell>
          <cell r="K55">
            <v>2.8530000000000001E-3</v>
          </cell>
          <cell r="L55">
            <v>1.75E-3</v>
          </cell>
        </row>
        <row r="56">
          <cell r="H56">
            <v>55</v>
          </cell>
          <cell r="I56">
            <v>6.8300000000000001E-4</v>
          </cell>
          <cell r="J56">
            <v>8.6693999999999993E-2</v>
          </cell>
          <cell r="K56">
            <v>2.8530000000000001E-3</v>
          </cell>
          <cell r="L56">
            <v>1.75E-3</v>
          </cell>
        </row>
        <row r="57">
          <cell r="H57">
            <v>56</v>
          </cell>
          <cell r="I57">
            <v>6.8300000000000001E-4</v>
          </cell>
          <cell r="J57">
            <v>8.6693999999999993E-2</v>
          </cell>
          <cell r="K57">
            <v>2.8530000000000001E-3</v>
          </cell>
          <cell r="L57">
            <v>1.75E-3</v>
          </cell>
        </row>
        <row r="58">
          <cell r="H58">
            <v>57</v>
          </cell>
          <cell r="I58">
            <v>6.8300000000000001E-4</v>
          </cell>
          <cell r="J58">
            <v>8.6693999999999993E-2</v>
          </cell>
          <cell r="K58">
            <v>2.8530000000000001E-3</v>
          </cell>
          <cell r="L58">
            <v>1.75E-3</v>
          </cell>
        </row>
        <row r="59">
          <cell r="H59">
            <v>58</v>
          </cell>
          <cell r="I59">
            <v>6.8300000000000001E-4</v>
          </cell>
          <cell r="J59">
            <v>8.6693999999999993E-2</v>
          </cell>
          <cell r="K59">
            <v>2.8530000000000001E-3</v>
          </cell>
          <cell r="L59">
            <v>1.75E-3</v>
          </cell>
        </row>
        <row r="60">
          <cell r="H60">
            <v>59</v>
          </cell>
          <cell r="I60">
            <v>6.8300000000000001E-4</v>
          </cell>
          <cell r="J60">
            <v>8.6693999999999993E-2</v>
          </cell>
          <cell r="K60">
            <v>2.8530000000000001E-3</v>
          </cell>
          <cell r="L60">
            <v>1.75E-3</v>
          </cell>
        </row>
        <row r="61">
          <cell r="H61">
            <v>60</v>
          </cell>
          <cell r="I61">
            <v>6.8300000000000001E-4</v>
          </cell>
          <cell r="J61">
            <v>8.6693999999999993E-2</v>
          </cell>
          <cell r="K61">
            <v>2.8530000000000001E-3</v>
          </cell>
          <cell r="L61">
            <v>1.75E-3</v>
          </cell>
        </row>
        <row r="62">
          <cell r="H62">
            <v>61</v>
          </cell>
          <cell r="I62">
            <v>6.8300000000000001E-4</v>
          </cell>
          <cell r="J62">
            <v>8.6693999999999993E-2</v>
          </cell>
          <cell r="K62">
            <v>2.8530000000000001E-3</v>
          </cell>
          <cell r="L62">
            <v>1.75E-3</v>
          </cell>
        </row>
        <row r="63">
          <cell r="H63">
            <v>62</v>
          </cell>
          <cell r="I63">
            <v>6.8300000000000001E-4</v>
          </cell>
          <cell r="J63">
            <v>8.6693999999999993E-2</v>
          </cell>
          <cell r="K63">
            <v>2.8530000000000001E-3</v>
          </cell>
          <cell r="L63">
            <v>1.75E-3</v>
          </cell>
        </row>
        <row r="64">
          <cell r="H64">
            <v>63</v>
          </cell>
          <cell r="I64">
            <v>6.8300000000000001E-4</v>
          </cell>
          <cell r="J64">
            <v>8.6693999999999993E-2</v>
          </cell>
          <cell r="K64">
            <v>2.8530000000000001E-3</v>
          </cell>
          <cell r="L64">
            <v>1.75E-3</v>
          </cell>
        </row>
        <row r="65">
          <cell r="H65">
            <v>64</v>
          </cell>
          <cell r="I65">
            <v>6.8300000000000001E-4</v>
          </cell>
          <cell r="J65">
            <v>8.6693999999999993E-2</v>
          </cell>
          <cell r="K65">
            <v>2.8530000000000001E-3</v>
          </cell>
          <cell r="L65">
            <v>1.75E-3</v>
          </cell>
        </row>
        <row r="66">
          <cell r="H66">
            <v>65</v>
          </cell>
          <cell r="I66">
            <v>6.8300000000000001E-4</v>
          </cell>
          <cell r="J66">
            <v>8.6693999999999993E-2</v>
          </cell>
          <cell r="K66">
            <v>2.8530000000000001E-3</v>
          </cell>
          <cell r="L66">
            <v>1.75E-3</v>
          </cell>
        </row>
        <row r="67">
          <cell r="H67">
            <v>66</v>
          </cell>
          <cell r="I67">
            <v>6.8300000000000001E-4</v>
          </cell>
          <cell r="J67">
            <v>8.6693999999999993E-2</v>
          </cell>
          <cell r="K67">
            <v>2.8530000000000001E-3</v>
          </cell>
          <cell r="L67">
            <v>1.75E-3</v>
          </cell>
        </row>
        <row r="68">
          <cell r="H68">
            <v>67</v>
          </cell>
          <cell r="I68">
            <v>6.8300000000000001E-4</v>
          </cell>
          <cell r="J68">
            <v>8.6693999999999993E-2</v>
          </cell>
          <cell r="K68">
            <v>2.8530000000000001E-3</v>
          </cell>
          <cell r="L68">
            <v>1.75E-3</v>
          </cell>
        </row>
        <row r="69">
          <cell r="H69">
            <v>68</v>
          </cell>
          <cell r="I69">
            <v>6.8300000000000001E-4</v>
          </cell>
          <cell r="J69">
            <v>8.6693999999999993E-2</v>
          </cell>
          <cell r="K69">
            <v>2.8530000000000001E-3</v>
          </cell>
          <cell r="L69">
            <v>1.75E-3</v>
          </cell>
        </row>
        <row r="70">
          <cell r="H70">
            <v>69</v>
          </cell>
          <cell r="I70">
            <v>6.8300000000000001E-4</v>
          </cell>
          <cell r="J70">
            <v>8.6693999999999993E-2</v>
          </cell>
          <cell r="K70">
            <v>2.8530000000000001E-3</v>
          </cell>
          <cell r="L70">
            <v>1.75E-3</v>
          </cell>
        </row>
        <row r="71">
          <cell r="H71">
            <v>70</v>
          </cell>
          <cell r="I71">
            <v>6.8300000000000001E-4</v>
          </cell>
          <cell r="J71">
            <v>8.6693999999999993E-2</v>
          </cell>
          <cell r="K71">
            <v>2.8530000000000001E-3</v>
          </cell>
          <cell r="L71">
            <v>1.75E-3</v>
          </cell>
        </row>
        <row r="72">
          <cell r="H72">
            <v>71</v>
          </cell>
          <cell r="I72">
            <v>6.8300000000000001E-4</v>
          </cell>
          <cell r="J72">
            <v>8.6693999999999993E-2</v>
          </cell>
          <cell r="K72">
            <v>2.8530000000000001E-3</v>
          </cell>
          <cell r="L72">
            <v>1.75E-3</v>
          </cell>
        </row>
        <row r="73">
          <cell r="H73">
            <v>72</v>
          </cell>
          <cell r="I73">
            <v>6.8300000000000001E-4</v>
          </cell>
          <cell r="J73">
            <v>8.6693999999999993E-2</v>
          </cell>
          <cell r="K73">
            <v>2.8530000000000001E-3</v>
          </cell>
          <cell r="L73">
            <v>1.75E-3</v>
          </cell>
        </row>
        <row r="74">
          <cell r="H74">
            <v>73</v>
          </cell>
          <cell r="I74">
            <v>6.8300000000000001E-4</v>
          </cell>
          <cell r="J74">
            <v>8.6693999999999993E-2</v>
          </cell>
          <cell r="K74">
            <v>2.8530000000000001E-3</v>
          </cell>
          <cell r="L74">
            <v>1.75E-3</v>
          </cell>
        </row>
        <row r="75">
          <cell r="H75">
            <v>74</v>
          </cell>
          <cell r="I75">
            <v>6.8300000000000001E-4</v>
          </cell>
          <cell r="J75">
            <v>8.6693999999999993E-2</v>
          </cell>
          <cell r="K75">
            <v>2.8530000000000001E-3</v>
          </cell>
          <cell r="L75">
            <v>1.75E-3</v>
          </cell>
        </row>
        <row r="76">
          <cell r="H76">
            <v>75</v>
          </cell>
          <cell r="I76">
            <v>6.8300000000000001E-4</v>
          </cell>
          <cell r="J76">
            <v>8.6693999999999993E-2</v>
          </cell>
          <cell r="K76">
            <v>2.8530000000000001E-3</v>
          </cell>
          <cell r="L76">
            <v>1.75E-3</v>
          </cell>
        </row>
        <row r="77">
          <cell r="H77">
            <v>76</v>
          </cell>
          <cell r="I77">
            <v>6.8300000000000001E-4</v>
          </cell>
          <cell r="J77">
            <v>8.6693999999999993E-2</v>
          </cell>
          <cell r="K77">
            <v>2.8530000000000001E-3</v>
          </cell>
          <cell r="L77">
            <v>1.75E-3</v>
          </cell>
        </row>
        <row r="78">
          <cell r="H78">
            <v>77</v>
          </cell>
          <cell r="I78">
            <v>6.8300000000000001E-4</v>
          </cell>
          <cell r="J78">
            <v>8.6693999999999993E-2</v>
          </cell>
          <cell r="K78">
            <v>2.8530000000000001E-3</v>
          </cell>
          <cell r="L78">
            <v>1.75E-3</v>
          </cell>
        </row>
        <row r="79">
          <cell r="H79">
            <v>78</v>
          </cell>
          <cell r="I79">
            <v>6.8300000000000001E-4</v>
          </cell>
          <cell r="J79">
            <v>8.6693999999999993E-2</v>
          </cell>
          <cell r="K79">
            <v>2.8530000000000001E-3</v>
          </cell>
          <cell r="L79">
            <v>1.75E-3</v>
          </cell>
        </row>
        <row r="80">
          <cell r="H80">
            <v>79</v>
          </cell>
          <cell r="I80">
            <v>6.8300000000000001E-4</v>
          </cell>
          <cell r="J80">
            <v>8.6693999999999993E-2</v>
          </cell>
          <cell r="K80">
            <v>2.8530000000000001E-3</v>
          </cell>
          <cell r="L80">
            <v>1.75E-3</v>
          </cell>
        </row>
        <row r="81">
          <cell r="H81">
            <v>80</v>
          </cell>
          <cell r="I81">
            <v>6.8300000000000001E-4</v>
          </cell>
          <cell r="J81">
            <v>8.6693999999999993E-2</v>
          </cell>
          <cell r="K81">
            <v>2.8530000000000001E-3</v>
          </cell>
          <cell r="L81">
            <v>1.75E-3</v>
          </cell>
        </row>
        <row r="82">
          <cell r="H82">
            <v>81</v>
          </cell>
          <cell r="I82">
            <v>6.8300000000000001E-4</v>
          </cell>
          <cell r="J82">
            <v>8.6693999999999993E-2</v>
          </cell>
          <cell r="K82">
            <v>2.8530000000000001E-3</v>
          </cell>
          <cell r="L82">
            <v>1.75E-3</v>
          </cell>
        </row>
        <row r="83">
          <cell r="H83">
            <v>82</v>
          </cell>
          <cell r="I83">
            <v>6.8300000000000001E-4</v>
          </cell>
          <cell r="J83">
            <v>8.6693999999999993E-2</v>
          </cell>
          <cell r="K83">
            <v>2.8530000000000001E-3</v>
          </cell>
          <cell r="L83">
            <v>1.75E-3</v>
          </cell>
        </row>
        <row r="84">
          <cell r="H84">
            <v>83</v>
          </cell>
          <cell r="I84">
            <v>6.8300000000000001E-4</v>
          </cell>
          <cell r="J84">
            <v>8.6693999999999993E-2</v>
          </cell>
          <cell r="K84">
            <v>2.8530000000000001E-3</v>
          </cell>
          <cell r="L84">
            <v>1.75E-3</v>
          </cell>
        </row>
        <row r="85">
          <cell r="H85">
            <v>84</v>
          </cell>
          <cell r="I85">
            <v>6.8300000000000001E-4</v>
          </cell>
          <cell r="J85">
            <v>8.6693999999999993E-2</v>
          </cell>
          <cell r="K85">
            <v>2.8530000000000001E-3</v>
          </cell>
          <cell r="L85">
            <v>1.75E-3</v>
          </cell>
        </row>
        <row r="86">
          <cell r="H86">
            <v>85</v>
          </cell>
          <cell r="I86">
            <v>6.8300000000000001E-4</v>
          </cell>
          <cell r="J86">
            <v>8.6693999999999993E-2</v>
          </cell>
          <cell r="K86">
            <v>2.8530000000000001E-3</v>
          </cell>
          <cell r="L86">
            <v>1.75E-3</v>
          </cell>
        </row>
        <row r="87">
          <cell r="H87">
            <v>86</v>
          </cell>
          <cell r="I87">
            <v>6.8300000000000001E-4</v>
          </cell>
          <cell r="J87">
            <v>8.6693999999999993E-2</v>
          </cell>
          <cell r="K87">
            <v>2.8530000000000001E-3</v>
          </cell>
          <cell r="L87">
            <v>1.75E-3</v>
          </cell>
        </row>
        <row r="88">
          <cell r="H88">
            <v>87</v>
          </cell>
          <cell r="I88">
            <v>6.8300000000000001E-4</v>
          </cell>
          <cell r="J88">
            <v>8.6693999999999993E-2</v>
          </cell>
          <cell r="K88">
            <v>2.8530000000000001E-3</v>
          </cell>
          <cell r="L88">
            <v>1.75E-3</v>
          </cell>
        </row>
        <row r="89">
          <cell r="H89">
            <v>88</v>
          </cell>
          <cell r="I89">
            <v>6.8300000000000001E-4</v>
          </cell>
          <cell r="J89">
            <v>8.6693999999999993E-2</v>
          </cell>
          <cell r="K89">
            <v>2.8530000000000001E-3</v>
          </cell>
          <cell r="L89">
            <v>1.75E-3</v>
          </cell>
        </row>
        <row r="90">
          <cell r="H90">
            <v>89</v>
          </cell>
          <cell r="I90">
            <v>6.8300000000000001E-4</v>
          </cell>
          <cell r="J90">
            <v>8.6693999999999993E-2</v>
          </cell>
          <cell r="K90">
            <v>2.8530000000000001E-3</v>
          </cell>
          <cell r="L90">
            <v>1.75E-3</v>
          </cell>
        </row>
        <row r="91">
          <cell r="H91">
            <v>90</v>
          </cell>
          <cell r="I91">
            <v>6.8300000000000001E-4</v>
          </cell>
          <cell r="J91">
            <v>8.6693999999999993E-2</v>
          </cell>
          <cell r="K91">
            <v>2.8530000000000001E-3</v>
          </cell>
          <cell r="L91">
            <v>1.75E-3</v>
          </cell>
        </row>
        <row r="92">
          <cell r="H92">
            <v>91</v>
          </cell>
          <cell r="I92">
            <v>6.8300000000000001E-4</v>
          </cell>
          <cell r="J92">
            <v>8.6693999999999993E-2</v>
          </cell>
          <cell r="K92">
            <v>2.8530000000000001E-3</v>
          </cell>
          <cell r="L92">
            <v>1.75E-3</v>
          </cell>
        </row>
        <row r="93">
          <cell r="H93">
            <v>92</v>
          </cell>
          <cell r="I93">
            <v>6.8300000000000001E-4</v>
          </cell>
          <cell r="J93">
            <v>8.6693999999999993E-2</v>
          </cell>
          <cell r="K93">
            <v>2.8530000000000001E-3</v>
          </cell>
          <cell r="L93">
            <v>1.75E-3</v>
          </cell>
        </row>
        <row r="94">
          <cell r="H94">
            <v>93</v>
          </cell>
          <cell r="I94">
            <v>6.8300000000000001E-4</v>
          </cell>
          <cell r="J94">
            <v>8.6693999999999993E-2</v>
          </cell>
          <cell r="K94">
            <v>2.8530000000000001E-3</v>
          </cell>
          <cell r="L94">
            <v>1.75E-3</v>
          </cell>
        </row>
        <row r="95">
          <cell r="H95">
            <v>94</v>
          </cell>
          <cell r="I95">
            <v>6.8300000000000001E-4</v>
          </cell>
          <cell r="J95">
            <v>8.6693999999999993E-2</v>
          </cell>
          <cell r="K95">
            <v>2.8530000000000001E-3</v>
          </cell>
          <cell r="L95">
            <v>1.75E-3</v>
          </cell>
        </row>
        <row r="96">
          <cell r="H96">
            <v>95</v>
          </cell>
          <cell r="I96">
            <v>6.8300000000000001E-4</v>
          </cell>
          <cell r="J96">
            <v>8.6693999999999993E-2</v>
          </cell>
          <cell r="K96">
            <v>2.8530000000000001E-3</v>
          </cell>
          <cell r="L96">
            <v>1.75E-3</v>
          </cell>
        </row>
        <row r="97">
          <cell r="H97">
            <v>96</v>
          </cell>
          <cell r="I97">
            <v>6.8300000000000001E-4</v>
          </cell>
          <cell r="J97">
            <v>8.6693999999999993E-2</v>
          </cell>
          <cell r="K97">
            <v>2.8530000000000001E-3</v>
          </cell>
          <cell r="L97">
            <v>1.75E-3</v>
          </cell>
        </row>
        <row r="98">
          <cell r="H98">
            <v>97</v>
          </cell>
          <cell r="I98">
            <v>6.8300000000000001E-4</v>
          </cell>
          <cell r="J98">
            <v>8.6693999999999993E-2</v>
          </cell>
          <cell r="K98">
            <v>2.8530000000000001E-3</v>
          </cell>
          <cell r="L98">
            <v>1.75E-3</v>
          </cell>
        </row>
        <row r="99">
          <cell r="H99">
            <v>98</v>
          </cell>
          <cell r="I99">
            <v>6.8300000000000001E-4</v>
          </cell>
          <cell r="J99">
            <v>8.6693999999999993E-2</v>
          </cell>
          <cell r="K99">
            <v>2.8530000000000001E-3</v>
          </cell>
          <cell r="L99">
            <v>1.75E-3</v>
          </cell>
        </row>
        <row r="100">
          <cell r="H100">
            <v>99</v>
          </cell>
          <cell r="I100">
            <v>6.8300000000000001E-4</v>
          </cell>
          <cell r="J100">
            <v>8.6693999999999993E-2</v>
          </cell>
          <cell r="K100">
            <v>2.8530000000000001E-3</v>
          </cell>
          <cell r="L100">
            <v>1.75E-3</v>
          </cell>
        </row>
        <row r="101">
          <cell r="H101">
            <v>100</v>
          </cell>
          <cell r="I101">
            <v>6.8300000000000001E-4</v>
          </cell>
          <cell r="J101">
            <v>8.6693999999999993E-2</v>
          </cell>
          <cell r="K101">
            <v>2.8530000000000001E-3</v>
          </cell>
          <cell r="L101">
            <v>1.75E-3</v>
          </cell>
        </row>
        <row r="102">
          <cell r="H102">
            <v>101</v>
          </cell>
          <cell r="I102">
            <v>6.8300000000000001E-4</v>
          </cell>
          <cell r="J102">
            <v>8.6693999999999993E-2</v>
          </cell>
          <cell r="K102">
            <v>2.8530000000000001E-3</v>
          </cell>
          <cell r="L102">
            <v>1.75E-3</v>
          </cell>
        </row>
        <row r="103">
          <cell r="H103">
            <v>102</v>
          </cell>
          <cell r="I103">
            <v>6.8300000000000001E-4</v>
          </cell>
          <cell r="J103">
            <v>8.6693999999999993E-2</v>
          </cell>
          <cell r="K103">
            <v>2.8530000000000001E-3</v>
          </cell>
          <cell r="L103">
            <v>1.75E-3</v>
          </cell>
        </row>
        <row r="104">
          <cell r="H104">
            <v>103</v>
          </cell>
          <cell r="I104">
            <v>6.8300000000000001E-4</v>
          </cell>
          <cell r="J104">
            <v>8.6693999999999993E-2</v>
          </cell>
          <cell r="K104">
            <v>2.8530000000000001E-3</v>
          </cell>
          <cell r="L104">
            <v>1.75E-3</v>
          </cell>
        </row>
        <row r="105">
          <cell r="H105">
            <v>104</v>
          </cell>
          <cell r="I105">
            <v>6.8300000000000001E-4</v>
          </cell>
          <cell r="J105">
            <v>8.6693999999999993E-2</v>
          </cell>
          <cell r="K105">
            <v>2.8530000000000001E-3</v>
          </cell>
          <cell r="L105">
            <v>1.75E-3</v>
          </cell>
        </row>
        <row r="106">
          <cell r="H106">
            <v>105</v>
          </cell>
          <cell r="I106">
            <v>6.8300000000000001E-4</v>
          </cell>
          <cell r="J106">
            <v>8.6693999999999993E-2</v>
          </cell>
          <cell r="K106">
            <v>2.8530000000000001E-3</v>
          </cell>
          <cell r="L106">
            <v>1.75E-3</v>
          </cell>
        </row>
        <row r="107">
          <cell r="H107">
            <v>106</v>
          </cell>
          <cell r="I107">
            <v>6.8300000000000001E-4</v>
          </cell>
          <cell r="J107">
            <v>8.6693999999999993E-2</v>
          </cell>
          <cell r="K107">
            <v>2.8530000000000001E-3</v>
          </cell>
          <cell r="L107">
            <v>1.75E-3</v>
          </cell>
        </row>
        <row r="108">
          <cell r="H108">
            <v>107</v>
          </cell>
          <cell r="I108">
            <v>6.8300000000000001E-4</v>
          </cell>
          <cell r="J108">
            <v>8.6693999999999993E-2</v>
          </cell>
          <cell r="K108">
            <v>2.8530000000000001E-3</v>
          </cell>
          <cell r="L108">
            <v>1.75E-3</v>
          </cell>
        </row>
        <row r="109">
          <cell r="H109">
            <v>108</v>
          </cell>
          <cell r="I109">
            <v>6.8300000000000001E-4</v>
          </cell>
          <cell r="J109">
            <v>8.6693999999999993E-2</v>
          </cell>
          <cell r="K109">
            <v>2.8530000000000001E-3</v>
          </cell>
          <cell r="L109">
            <v>1.75E-3</v>
          </cell>
        </row>
        <row r="110">
          <cell r="H110">
            <v>109</v>
          </cell>
          <cell r="I110">
            <v>6.8300000000000001E-4</v>
          </cell>
          <cell r="J110">
            <v>8.6693999999999993E-2</v>
          </cell>
          <cell r="K110">
            <v>2.8530000000000001E-3</v>
          </cell>
          <cell r="L110">
            <v>1.75E-3</v>
          </cell>
        </row>
        <row r="111">
          <cell r="H111">
            <v>110</v>
          </cell>
          <cell r="I111">
            <v>6.8300000000000001E-4</v>
          </cell>
          <cell r="J111">
            <v>8.6693999999999993E-2</v>
          </cell>
          <cell r="K111">
            <v>2.8530000000000001E-3</v>
          </cell>
          <cell r="L111">
            <v>1.75E-3</v>
          </cell>
        </row>
        <row r="112">
          <cell r="H112">
            <v>111</v>
          </cell>
          <cell r="I112">
            <v>6.8300000000000001E-4</v>
          </cell>
          <cell r="J112">
            <v>8.6693999999999993E-2</v>
          </cell>
          <cell r="K112">
            <v>2.8530000000000001E-3</v>
          </cell>
          <cell r="L112">
            <v>1.75E-3</v>
          </cell>
        </row>
        <row r="113">
          <cell r="H113">
            <v>112</v>
          </cell>
          <cell r="I113">
            <v>6.8300000000000001E-4</v>
          </cell>
          <cell r="J113">
            <v>8.6693999999999993E-2</v>
          </cell>
          <cell r="K113">
            <v>2.8530000000000001E-3</v>
          </cell>
          <cell r="L113">
            <v>1.75E-3</v>
          </cell>
        </row>
        <row r="114">
          <cell r="H114">
            <v>113</v>
          </cell>
          <cell r="I114">
            <v>6.8300000000000001E-4</v>
          </cell>
          <cell r="J114">
            <v>8.6693999999999993E-2</v>
          </cell>
          <cell r="K114">
            <v>2.8530000000000001E-3</v>
          </cell>
          <cell r="L114">
            <v>1.75E-3</v>
          </cell>
        </row>
        <row r="115">
          <cell r="H115">
            <v>114</v>
          </cell>
          <cell r="I115">
            <v>6.8300000000000001E-4</v>
          </cell>
          <cell r="J115">
            <v>8.6693999999999993E-2</v>
          </cell>
          <cell r="K115">
            <v>2.8530000000000001E-3</v>
          </cell>
          <cell r="L115">
            <v>1.75E-3</v>
          </cell>
        </row>
        <row r="116">
          <cell r="H116">
            <v>115</v>
          </cell>
          <cell r="I116">
            <v>6.8300000000000001E-4</v>
          </cell>
          <cell r="J116">
            <v>8.6693999999999993E-2</v>
          </cell>
          <cell r="K116">
            <v>2.8530000000000001E-3</v>
          </cell>
          <cell r="L116">
            <v>1.75E-3</v>
          </cell>
        </row>
        <row r="117">
          <cell r="H117">
            <v>116</v>
          </cell>
          <cell r="I117">
            <v>6.8300000000000001E-4</v>
          </cell>
          <cell r="J117">
            <v>8.6693999999999993E-2</v>
          </cell>
          <cell r="K117">
            <v>2.8530000000000001E-3</v>
          </cell>
          <cell r="L117">
            <v>1.75E-3</v>
          </cell>
        </row>
        <row r="118">
          <cell r="H118">
            <v>117</v>
          </cell>
          <cell r="I118">
            <v>6.8300000000000001E-4</v>
          </cell>
          <cell r="J118">
            <v>8.6693999999999993E-2</v>
          </cell>
          <cell r="K118">
            <v>2.8530000000000001E-3</v>
          </cell>
          <cell r="L118">
            <v>1.75E-3</v>
          </cell>
        </row>
        <row r="119">
          <cell r="H119">
            <v>118</v>
          </cell>
          <cell r="I119">
            <v>6.8300000000000001E-4</v>
          </cell>
          <cell r="J119">
            <v>8.6693999999999993E-2</v>
          </cell>
          <cell r="K119">
            <v>2.8530000000000001E-3</v>
          </cell>
          <cell r="L119">
            <v>1.75E-3</v>
          </cell>
        </row>
        <row r="120">
          <cell r="H120">
            <v>119</v>
          </cell>
          <cell r="I120">
            <v>6.8300000000000001E-4</v>
          </cell>
          <cell r="J120">
            <v>8.6693999999999993E-2</v>
          </cell>
          <cell r="K120">
            <v>2.8530000000000001E-3</v>
          </cell>
          <cell r="L120">
            <v>1.75E-3</v>
          </cell>
        </row>
        <row r="121">
          <cell r="H121">
            <v>120</v>
          </cell>
          <cell r="I121">
            <v>6.8300000000000001E-4</v>
          </cell>
          <cell r="J121">
            <v>8.6693999999999993E-2</v>
          </cell>
          <cell r="K121">
            <v>2.8530000000000001E-3</v>
          </cell>
          <cell r="L121">
            <v>1.75E-3</v>
          </cell>
        </row>
        <row r="122">
          <cell r="H122">
            <v>121</v>
          </cell>
          <cell r="I122">
            <v>6.8300000000000001E-4</v>
          </cell>
          <cell r="J122">
            <v>8.6693999999999993E-2</v>
          </cell>
          <cell r="K122">
            <v>2.8530000000000001E-3</v>
          </cell>
          <cell r="L122">
            <v>1.75E-3</v>
          </cell>
        </row>
        <row r="123">
          <cell r="H123">
            <v>122</v>
          </cell>
          <cell r="I123">
            <v>6.8300000000000001E-4</v>
          </cell>
          <cell r="J123">
            <v>8.6693999999999993E-2</v>
          </cell>
          <cell r="K123">
            <v>2.8530000000000001E-3</v>
          </cell>
          <cell r="L123">
            <v>1.75E-3</v>
          </cell>
        </row>
        <row r="124">
          <cell r="H124">
            <v>123</v>
          </cell>
          <cell r="I124">
            <v>6.8300000000000001E-4</v>
          </cell>
          <cell r="J124">
            <v>8.6693999999999993E-2</v>
          </cell>
          <cell r="K124">
            <v>2.8530000000000001E-3</v>
          </cell>
          <cell r="L124">
            <v>1.75E-3</v>
          </cell>
        </row>
        <row r="125">
          <cell r="H125">
            <v>124</v>
          </cell>
          <cell r="I125">
            <v>6.8300000000000001E-4</v>
          </cell>
          <cell r="J125">
            <v>8.6693999999999993E-2</v>
          </cell>
          <cell r="K125">
            <v>2.8530000000000001E-3</v>
          </cell>
          <cell r="L125">
            <v>1.75E-3</v>
          </cell>
        </row>
        <row r="126">
          <cell r="H126">
            <v>125</v>
          </cell>
          <cell r="I126">
            <v>6.8300000000000001E-4</v>
          </cell>
          <cell r="J126">
            <v>8.6693999999999993E-2</v>
          </cell>
          <cell r="K126">
            <v>2.8530000000000001E-3</v>
          </cell>
          <cell r="L126">
            <v>1.75E-3</v>
          </cell>
        </row>
        <row r="127">
          <cell r="H127">
            <v>126</v>
          </cell>
          <cell r="I127">
            <v>6.8300000000000001E-4</v>
          </cell>
          <cell r="J127">
            <v>8.6693999999999993E-2</v>
          </cell>
          <cell r="K127">
            <v>2.8530000000000001E-3</v>
          </cell>
          <cell r="L127">
            <v>1.75E-3</v>
          </cell>
        </row>
        <row r="128">
          <cell r="H128">
            <v>127</v>
          </cell>
          <cell r="I128">
            <v>6.8300000000000001E-4</v>
          </cell>
          <cell r="J128">
            <v>8.6693999999999993E-2</v>
          </cell>
          <cell r="K128">
            <v>2.8530000000000001E-3</v>
          </cell>
          <cell r="L128">
            <v>1.75E-3</v>
          </cell>
        </row>
        <row r="129">
          <cell r="H129">
            <v>128</v>
          </cell>
          <cell r="I129">
            <v>6.8300000000000001E-4</v>
          </cell>
          <cell r="J129">
            <v>8.6693999999999993E-2</v>
          </cell>
          <cell r="K129">
            <v>2.8530000000000001E-3</v>
          </cell>
          <cell r="L129">
            <v>1.75E-3</v>
          </cell>
        </row>
        <row r="130">
          <cell r="H130">
            <v>129</v>
          </cell>
          <cell r="I130">
            <v>6.8300000000000001E-4</v>
          </cell>
          <cell r="J130">
            <v>8.6693999999999993E-2</v>
          </cell>
          <cell r="K130">
            <v>2.8530000000000001E-3</v>
          </cell>
          <cell r="L130">
            <v>1.75E-3</v>
          </cell>
        </row>
        <row r="131">
          <cell r="H131">
            <v>130</v>
          </cell>
          <cell r="I131">
            <v>6.8300000000000001E-4</v>
          </cell>
          <cell r="J131">
            <v>8.6693999999999993E-2</v>
          </cell>
          <cell r="K131">
            <v>2.8530000000000001E-3</v>
          </cell>
          <cell r="L131">
            <v>1.75E-3</v>
          </cell>
        </row>
        <row r="132">
          <cell r="H132">
            <v>131</v>
          </cell>
          <cell r="I132">
            <v>6.8300000000000001E-4</v>
          </cell>
          <cell r="J132">
            <v>8.6693999999999993E-2</v>
          </cell>
          <cell r="K132">
            <v>2.8530000000000001E-3</v>
          </cell>
          <cell r="L132">
            <v>1.75E-3</v>
          </cell>
        </row>
        <row r="133">
          <cell r="H133">
            <v>132</v>
          </cell>
          <cell r="I133">
            <v>6.8300000000000001E-4</v>
          </cell>
          <cell r="J133">
            <v>8.6693999999999993E-2</v>
          </cell>
          <cell r="K133">
            <v>2.8530000000000001E-3</v>
          </cell>
          <cell r="L133">
            <v>1.75E-3</v>
          </cell>
        </row>
        <row r="134">
          <cell r="H134">
            <v>133</v>
          </cell>
          <cell r="I134">
            <v>6.8300000000000001E-4</v>
          </cell>
          <cell r="J134">
            <v>8.6693999999999993E-2</v>
          </cell>
          <cell r="K134">
            <v>2.8530000000000001E-3</v>
          </cell>
          <cell r="L134">
            <v>1.75E-3</v>
          </cell>
        </row>
        <row r="135">
          <cell r="H135">
            <v>134</v>
          </cell>
          <cell r="I135">
            <v>6.8300000000000001E-4</v>
          </cell>
          <cell r="J135">
            <v>8.6693999999999993E-2</v>
          </cell>
          <cell r="K135">
            <v>2.8530000000000001E-3</v>
          </cell>
          <cell r="L135">
            <v>1.75E-3</v>
          </cell>
        </row>
        <row r="136">
          <cell r="H136">
            <v>135</v>
          </cell>
          <cell r="I136">
            <v>6.8300000000000001E-4</v>
          </cell>
          <cell r="J136">
            <v>8.6693999999999993E-2</v>
          </cell>
          <cell r="K136">
            <v>2.8530000000000001E-3</v>
          </cell>
          <cell r="L136">
            <v>1.75E-3</v>
          </cell>
        </row>
        <row r="137">
          <cell r="H137">
            <v>136</v>
          </cell>
          <cell r="I137">
            <v>6.8300000000000001E-4</v>
          </cell>
          <cell r="J137">
            <v>8.6693999999999993E-2</v>
          </cell>
          <cell r="K137">
            <v>2.8530000000000001E-3</v>
          </cell>
          <cell r="L137">
            <v>1.75E-3</v>
          </cell>
        </row>
        <row r="138">
          <cell r="H138">
            <v>137</v>
          </cell>
          <cell r="I138">
            <v>6.8300000000000001E-4</v>
          </cell>
          <cell r="J138">
            <v>8.6693999999999993E-2</v>
          </cell>
          <cell r="K138">
            <v>2.8530000000000001E-3</v>
          </cell>
          <cell r="L138">
            <v>1.75E-3</v>
          </cell>
        </row>
        <row r="139">
          <cell r="H139">
            <v>138</v>
          </cell>
          <cell r="I139">
            <v>6.8300000000000001E-4</v>
          </cell>
          <cell r="J139">
            <v>8.6693999999999993E-2</v>
          </cell>
          <cell r="K139">
            <v>2.8530000000000001E-3</v>
          </cell>
          <cell r="L139">
            <v>1.75E-3</v>
          </cell>
        </row>
        <row r="140">
          <cell r="H140">
            <v>139</v>
          </cell>
          <cell r="I140">
            <v>6.8300000000000001E-4</v>
          </cell>
          <cell r="J140">
            <v>8.6693999999999993E-2</v>
          </cell>
          <cell r="K140">
            <v>2.8530000000000001E-3</v>
          </cell>
          <cell r="L140">
            <v>1.75E-3</v>
          </cell>
        </row>
        <row r="141">
          <cell r="H141">
            <v>140</v>
          </cell>
          <cell r="I141">
            <v>6.8300000000000001E-4</v>
          </cell>
          <cell r="J141">
            <v>8.6693999999999993E-2</v>
          </cell>
          <cell r="K141">
            <v>2.8530000000000001E-3</v>
          </cell>
          <cell r="L141">
            <v>1.75E-3</v>
          </cell>
        </row>
        <row r="142">
          <cell r="H142">
            <v>141</v>
          </cell>
          <cell r="I142">
            <v>6.8300000000000001E-4</v>
          </cell>
          <cell r="J142">
            <v>8.6693999999999993E-2</v>
          </cell>
          <cell r="K142">
            <v>2.8530000000000001E-3</v>
          </cell>
          <cell r="L142">
            <v>1.75E-3</v>
          </cell>
        </row>
        <row r="143">
          <cell r="H143">
            <v>142</v>
          </cell>
          <cell r="I143">
            <v>6.8300000000000001E-4</v>
          </cell>
          <cell r="J143">
            <v>8.6693999999999993E-2</v>
          </cell>
          <cell r="K143">
            <v>2.8530000000000001E-3</v>
          </cell>
          <cell r="L143">
            <v>1.75E-3</v>
          </cell>
        </row>
        <row r="144">
          <cell r="H144">
            <v>143</v>
          </cell>
          <cell r="I144">
            <v>6.8300000000000001E-4</v>
          </cell>
          <cell r="J144">
            <v>8.6693999999999993E-2</v>
          </cell>
          <cell r="K144">
            <v>2.8530000000000001E-3</v>
          </cell>
          <cell r="L144">
            <v>1.75E-3</v>
          </cell>
        </row>
        <row r="145">
          <cell r="H145">
            <v>144</v>
          </cell>
          <cell r="I145">
            <v>6.8300000000000001E-4</v>
          </cell>
          <cell r="J145">
            <v>8.6693999999999993E-2</v>
          </cell>
          <cell r="K145">
            <v>2.8530000000000001E-3</v>
          </cell>
          <cell r="L145">
            <v>1.75E-3</v>
          </cell>
        </row>
        <row r="146">
          <cell r="H146">
            <v>145</v>
          </cell>
          <cell r="I146">
            <v>6.8300000000000001E-4</v>
          </cell>
          <cell r="J146">
            <v>8.6693999999999993E-2</v>
          </cell>
          <cell r="K146">
            <v>2.8530000000000001E-3</v>
          </cell>
          <cell r="L146">
            <v>1.75E-3</v>
          </cell>
        </row>
        <row r="147">
          <cell r="H147">
            <v>146</v>
          </cell>
          <cell r="I147">
            <v>6.8300000000000001E-4</v>
          </cell>
          <cell r="J147">
            <v>8.6693999999999993E-2</v>
          </cell>
          <cell r="K147">
            <v>2.8530000000000001E-3</v>
          </cell>
          <cell r="L147">
            <v>1.75E-3</v>
          </cell>
        </row>
        <row r="148">
          <cell r="H148">
            <v>147</v>
          </cell>
          <cell r="I148">
            <v>6.8300000000000001E-4</v>
          </cell>
          <cell r="J148">
            <v>8.6693999999999993E-2</v>
          </cell>
          <cell r="K148">
            <v>2.8530000000000001E-3</v>
          </cell>
          <cell r="L148">
            <v>1.75E-3</v>
          </cell>
        </row>
        <row r="149">
          <cell r="H149">
            <v>148</v>
          </cell>
          <cell r="I149">
            <v>6.8300000000000001E-4</v>
          </cell>
          <cell r="J149">
            <v>8.6693999999999993E-2</v>
          </cell>
          <cell r="K149">
            <v>2.8530000000000001E-3</v>
          </cell>
          <cell r="L149">
            <v>1.75E-3</v>
          </cell>
        </row>
        <row r="150">
          <cell r="H150">
            <v>149</v>
          </cell>
          <cell r="I150">
            <v>6.8300000000000001E-4</v>
          </cell>
          <cell r="J150">
            <v>8.6693999999999993E-2</v>
          </cell>
          <cell r="K150">
            <v>2.8530000000000001E-3</v>
          </cell>
          <cell r="L150">
            <v>1.75E-3</v>
          </cell>
        </row>
        <row r="151">
          <cell r="H151">
            <v>150</v>
          </cell>
          <cell r="I151">
            <v>6.8300000000000001E-4</v>
          </cell>
          <cell r="J151">
            <v>8.6693999999999993E-2</v>
          </cell>
          <cell r="K151">
            <v>2.8530000000000001E-3</v>
          </cell>
          <cell r="L151">
            <v>1.75E-3</v>
          </cell>
        </row>
        <row r="152">
          <cell r="H152">
            <v>151</v>
          </cell>
          <cell r="I152">
            <v>6.8300000000000001E-4</v>
          </cell>
          <cell r="J152">
            <v>8.6693999999999993E-2</v>
          </cell>
          <cell r="K152">
            <v>2.8530000000000001E-3</v>
          </cell>
          <cell r="L152">
            <v>1.75E-3</v>
          </cell>
        </row>
        <row r="153">
          <cell r="H153">
            <v>152</v>
          </cell>
          <cell r="I153">
            <v>6.8300000000000001E-4</v>
          </cell>
          <cell r="J153">
            <v>8.6693999999999993E-2</v>
          </cell>
          <cell r="K153">
            <v>2.8530000000000001E-3</v>
          </cell>
          <cell r="L153">
            <v>1.75E-3</v>
          </cell>
        </row>
        <row r="154">
          <cell r="H154">
            <v>153</v>
          </cell>
          <cell r="I154">
            <v>6.8300000000000001E-4</v>
          </cell>
          <cell r="J154">
            <v>8.6693999999999993E-2</v>
          </cell>
          <cell r="K154">
            <v>2.8530000000000001E-3</v>
          </cell>
          <cell r="L154">
            <v>1.75E-3</v>
          </cell>
        </row>
        <row r="155">
          <cell r="H155">
            <v>154</v>
          </cell>
          <cell r="I155">
            <v>6.8300000000000001E-4</v>
          </cell>
          <cell r="J155">
            <v>8.6693999999999993E-2</v>
          </cell>
          <cell r="K155">
            <v>2.8530000000000001E-3</v>
          </cell>
          <cell r="L155">
            <v>1.75E-3</v>
          </cell>
        </row>
        <row r="156">
          <cell r="H156">
            <v>155</v>
          </cell>
          <cell r="I156">
            <v>6.8300000000000001E-4</v>
          </cell>
          <cell r="J156">
            <v>8.6693999999999993E-2</v>
          </cell>
          <cell r="K156">
            <v>2.8530000000000001E-3</v>
          </cell>
          <cell r="L156">
            <v>1.75E-3</v>
          </cell>
        </row>
        <row r="157">
          <cell r="H157">
            <v>156</v>
          </cell>
          <cell r="I157">
            <v>6.8300000000000001E-4</v>
          </cell>
          <cell r="J157">
            <v>8.6693999999999993E-2</v>
          </cell>
          <cell r="K157">
            <v>2.8530000000000001E-3</v>
          </cell>
          <cell r="L157">
            <v>1.75E-3</v>
          </cell>
        </row>
        <row r="158">
          <cell r="H158">
            <v>157</v>
          </cell>
          <cell r="I158">
            <v>6.8300000000000001E-4</v>
          </cell>
          <cell r="J158">
            <v>8.6693999999999993E-2</v>
          </cell>
          <cell r="K158">
            <v>2.8530000000000001E-3</v>
          </cell>
          <cell r="L158">
            <v>1.75E-3</v>
          </cell>
        </row>
        <row r="159">
          <cell r="H159">
            <v>158</v>
          </cell>
          <cell r="I159">
            <v>6.8300000000000001E-4</v>
          </cell>
          <cell r="J159">
            <v>8.6693999999999993E-2</v>
          </cell>
          <cell r="K159">
            <v>2.8530000000000001E-3</v>
          </cell>
          <cell r="L159">
            <v>1.75E-3</v>
          </cell>
        </row>
        <row r="160">
          <cell r="H160">
            <v>159</v>
          </cell>
          <cell r="I160">
            <v>6.8300000000000001E-4</v>
          </cell>
          <cell r="J160">
            <v>8.6693999999999993E-2</v>
          </cell>
          <cell r="K160">
            <v>2.8530000000000001E-3</v>
          </cell>
          <cell r="L160">
            <v>1.75E-3</v>
          </cell>
        </row>
        <row r="161">
          <cell r="H161">
            <v>160</v>
          </cell>
          <cell r="I161">
            <v>6.8300000000000001E-4</v>
          </cell>
          <cell r="J161">
            <v>8.6693999999999993E-2</v>
          </cell>
          <cell r="K161">
            <v>2.8530000000000001E-3</v>
          </cell>
          <cell r="L161">
            <v>1.75E-3</v>
          </cell>
        </row>
        <row r="162">
          <cell r="H162">
            <v>161</v>
          </cell>
          <cell r="I162">
            <v>6.8300000000000001E-4</v>
          </cell>
          <cell r="J162">
            <v>8.6693999999999993E-2</v>
          </cell>
          <cell r="K162">
            <v>2.8530000000000001E-3</v>
          </cell>
          <cell r="L162">
            <v>1.75E-3</v>
          </cell>
        </row>
        <row r="163">
          <cell r="H163">
            <v>162</v>
          </cell>
          <cell r="I163">
            <v>6.8300000000000001E-4</v>
          </cell>
          <cell r="J163">
            <v>8.6693999999999993E-2</v>
          </cell>
          <cell r="K163">
            <v>2.8530000000000001E-3</v>
          </cell>
          <cell r="L163">
            <v>1.75E-3</v>
          </cell>
        </row>
        <row r="164">
          <cell r="H164">
            <v>163</v>
          </cell>
          <cell r="I164">
            <v>6.8300000000000001E-4</v>
          </cell>
          <cell r="J164">
            <v>8.6693999999999993E-2</v>
          </cell>
          <cell r="K164">
            <v>2.8530000000000001E-3</v>
          </cell>
          <cell r="L164">
            <v>1.75E-3</v>
          </cell>
        </row>
        <row r="165">
          <cell r="H165">
            <v>164</v>
          </cell>
          <cell r="I165">
            <v>6.8300000000000001E-4</v>
          </cell>
          <cell r="J165">
            <v>8.6693999999999993E-2</v>
          </cell>
          <cell r="K165">
            <v>2.8530000000000001E-3</v>
          </cell>
          <cell r="L165">
            <v>1.75E-3</v>
          </cell>
        </row>
        <row r="166">
          <cell r="H166">
            <v>165</v>
          </cell>
          <cell r="I166">
            <v>6.8300000000000001E-4</v>
          </cell>
          <cell r="J166">
            <v>8.6693999999999993E-2</v>
          </cell>
          <cell r="K166">
            <v>2.8530000000000001E-3</v>
          </cell>
          <cell r="L166">
            <v>1.75E-3</v>
          </cell>
        </row>
        <row r="167">
          <cell r="H167">
            <v>166</v>
          </cell>
          <cell r="I167">
            <v>6.8300000000000001E-4</v>
          </cell>
          <cell r="J167">
            <v>8.6693999999999993E-2</v>
          </cell>
          <cell r="K167">
            <v>2.8530000000000001E-3</v>
          </cell>
          <cell r="L167">
            <v>1.75E-3</v>
          </cell>
        </row>
        <row r="168">
          <cell r="H168">
            <v>167</v>
          </cell>
          <cell r="I168">
            <v>6.8300000000000001E-4</v>
          </cell>
          <cell r="J168">
            <v>8.6693999999999993E-2</v>
          </cell>
          <cell r="K168">
            <v>2.8530000000000001E-3</v>
          </cell>
          <cell r="L168">
            <v>1.75E-3</v>
          </cell>
        </row>
        <row r="169">
          <cell r="H169">
            <v>168</v>
          </cell>
          <cell r="I169">
            <v>6.8300000000000001E-4</v>
          </cell>
          <cell r="J169">
            <v>8.6693999999999993E-2</v>
          </cell>
          <cell r="K169">
            <v>2.8530000000000001E-3</v>
          </cell>
          <cell r="L169">
            <v>1.75E-3</v>
          </cell>
        </row>
        <row r="170">
          <cell r="H170">
            <v>169</v>
          </cell>
          <cell r="I170">
            <v>6.8300000000000001E-4</v>
          </cell>
          <cell r="J170">
            <v>8.6693999999999993E-2</v>
          </cell>
          <cell r="K170">
            <v>2.8530000000000001E-3</v>
          </cell>
          <cell r="L170">
            <v>1.75E-3</v>
          </cell>
        </row>
        <row r="171">
          <cell r="H171">
            <v>170</v>
          </cell>
          <cell r="I171">
            <v>6.8300000000000001E-4</v>
          </cell>
          <cell r="J171">
            <v>8.6693999999999993E-2</v>
          </cell>
          <cell r="K171">
            <v>2.8530000000000001E-3</v>
          </cell>
          <cell r="L171">
            <v>1.75E-3</v>
          </cell>
        </row>
        <row r="172">
          <cell r="H172">
            <v>171</v>
          </cell>
          <cell r="I172">
            <v>6.8300000000000001E-4</v>
          </cell>
          <cell r="J172">
            <v>8.6693999999999993E-2</v>
          </cell>
          <cell r="K172">
            <v>2.8530000000000001E-3</v>
          </cell>
          <cell r="L172">
            <v>1.75E-3</v>
          </cell>
        </row>
        <row r="173">
          <cell r="H173">
            <v>172</v>
          </cell>
          <cell r="I173">
            <v>6.8300000000000001E-4</v>
          </cell>
          <cell r="J173">
            <v>8.6693999999999993E-2</v>
          </cell>
          <cell r="K173">
            <v>2.8530000000000001E-3</v>
          </cell>
          <cell r="L173">
            <v>1.75E-3</v>
          </cell>
        </row>
        <row r="174">
          <cell r="H174">
            <v>173</v>
          </cell>
          <cell r="I174">
            <v>6.8300000000000001E-4</v>
          </cell>
          <cell r="J174">
            <v>8.6693999999999993E-2</v>
          </cell>
          <cell r="K174">
            <v>2.8530000000000001E-3</v>
          </cell>
          <cell r="L174">
            <v>1.75E-3</v>
          </cell>
        </row>
        <row r="175">
          <cell r="H175">
            <v>174</v>
          </cell>
          <cell r="I175">
            <v>6.8300000000000001E-4</v>
          </cell>
          <cell r="J175">
            <v>8.6693999999999993E-2</v>
          </cell>
          <cell r="K175">
            <v>2.8530000000000001E-3</v>
          </cell>
          <cell r="L175">
            <v>1.75E-3</v>
          </cell>
        </row>
        <row r="176">
          <cell r="H176">
            <v>175</v>
          </cell>
          <cell r="I176">
            <v>6.8300000000000001E-4</v>
          </cell>
          <cell r="J176">
            <v>8.6693999999999993E-2</v>
          </cell>
          <cell r="K176">
            <v>2.8530000000000001E-3</v>
          </cell>
          <cell r="L176">
            <v>1.75E-3</v>
          </cell>
        </row>
        <row r="177">
          <cell r="H177">
            <v>176</v>
          </cell>
          <cell r="I177">
            <v>6.8300000000000001E-4</v>
          </cell>
          <cell r="J177">
            <v>8.6693999999999993E-2</v>
          </cell>
          <cell r="K177">
            <v>2.8530000000000001E-3</v>
          </cell>
          <cell r="L177">
            <v>1.75E-3</v>
          </cell>
        </row>
        <row r="178">
          <cell r="H178">
            <v>177</v>
          </cell>
          <cell r="I178">
            <v>6.8300000000000001E-4</v>
          </cell>
          <cell r="J178">
            <v>8.6693999999999993E-2</v>
          </cell>
          <cell r="K178">
            <v>2.8530000000000001E-3</v>
          </cell>
          <cell r="L178">
            <v>1.75E-3</v>
          </cell>
        </row>
        <row r="179">
          <cell r="H179">
            <v>178</v>
          </cell>
          <cell r="I179">
            <v>6.8300000000000001E-4</v>
          </cell>
          <cell r="J179">
            <v>8.6693999999999993E-2</v>
          </cell>
          <cell r="K179">
            <v>2.8530000000000001E-3</v>
          </cell>
          <cell r="L179">
            <v>1.75E-3</v>
          </cell>
        </row>
        <row r="180">
          <cell r="H180">
            <v>179</v>
          </cell>
          <cell r="I180">
            <v>6.8300000000000001E-4</v>
          </cell>
          <cell r="J180">
            <v>8.6693999999999993E-2</v>
          </cell>
          <cell r="K180">
            <v>2.8530000000000001E-3</v>
          </cell>
          <cell r="L180">
            <v>1.75E-3</v>
          </cell>
        </row>
        <row r="181">
          <cell r="H181">
            <v>180</v>
          </cell>
          <cell r="I181">
            <v>6.8300000000000001E-4</v>
          </cell>
          <cell r="J181">
            <v>8.6693999999999993E-2</v>
          </cell>
          <cell r="K181">
            <v>2.8530000000000001E-3</v>
          </cell>
          <cell r="L181">
            <v>1.75E-3</v>
          </cell>
        </row>
        <row r="182">
          <cell r="H182">
            <v>181</v>
          </cell>
          <cell r="I182">
            <v>6.8300000000000001E-4</v>
          </cell>
          <cell r="J182">
            <v>8.6693999999999993E-2</v>
          </cell>
          <cell r="K182">
            <v>2.8530000000000001E-3</v>
          </cell>
          <cell r="L182">
            <v>1.75E-3</v>
          </cell>
        </row>
        <row r="183">
          <cell r="H183">
            <v>182</v>
          </cell>
          <cell r="I183">
            <v>6.8300000000000001E-4</v>
          </cell>
          <cell r="J183">
            <v>8.6693999999999993E-2</v>
          </cell>
          <cell r="K183">
            <v>2.8530000000000001E-3</v>
          </cell>
          <cell r="L183">
            <v>1.75E-3</v>
          </cell>
        </row>
        <row r="184">
          <cell r="H184">
            <v>183</v>
          </cell>
          <cell r="I184">
            <v>6.8300000000000001E-4</v>
          </cell>
          <cell r="J184">
            <v>8.6693999999999993E-2</v>
          </cell>
          <cell r="K184">
            <v>2.8530000000000001E-3</v>
          </cell>
          <cell r="L184">
            <v>1.75E-3</v>
          </cell>
        </row>
        <row r="185">
          <cell r="H185">
            <v>184</v>
          </cell>
          <cell r="I185">
            <v>6.8300000000000001E-4</v>
          </cell>
          <cell r="J185">
            <v>8.6693999999999993E-2</v>
          </cell>
          <cell r="K185">
            <v>2.8530000000000001E-3</v>
          </cell>
          <cell r="L185">
            <v>1.75E-3</v>
          </cell>
        </row>
        <row r="186">
          <cell r="H186">
            <v>185</v>
          </cell>
          <cell r="I186">
            <v>6.8300000000000001E-4</v>
          </cell>
          <cell r="J186">
            <v>8.6693999999999993E-2</v>
          </cell>
          <cell r="K186">
            <v>2.8530000000000001E-3</v>
          </cell>
          <cell r="L186">
            <v>1.75E-3</v>
          </cell>
        </row>
        <row r="187">
          <cell r="H187">
            <v>186</v>
          </cell>
          <cell r="I187">
            <v>6.8300000000000001E-4</v>
          </cell>
          <cell r="J187">
            <v>8.6693999999999993E-2</v>
          </cell>
          <cell r="K187">
            <v>2.8530000000000001E-3</v>
          </cell>
          <cell r="L187">
            <v>1.75E-3</v>
          </cell>
        </row>
        <row r="188">
          <cell r="H188">
            <v>187</v>
          </cell>
          <cell r="I188">
            <v>6.8300000000000001E-4</v>
          </cell>
          <cell r="J188">
            <v>8.6693999999999993E-2</v>
          </cell>
          <cell r="K188">
            <v>2.8530000000000001E-3</v>
          </cell>
          <cell r="L188">
            <v>1.75E-3</v>
          </cell>
        </row>
        <row r="189">
          <cell r="H189">
            <v>188</v>
          </cell>
          <cell r="I189">
            <v>6.8300000000000001E-4</v>
          </cell>
          <cell r="J189">
            <v>8.6693999999999993E-2</v>
          </cell>
          <cell r="K189">
            <v>2.8530000000000001E-3</v>
          </cell>
          <cell r="L189">
            <v>1.75E-3</v>
          </cell>
        </row>
        <row r="190">
          <cell r="H190">
            <v>189</v>
          </cell>
          <cell r="I190">
            <v>6.8300000000000001E-4</v>
          </cell>
          <cell r="J190">
            <v>8.6693999999999993E-2</v>
          </cell>
          <cell r="K190">
            <v>2.8530000000000001E-3</v>
          </cell>
          <cell r="L190">
            <v>1.75E-3</v>
          </cell>
        </row>
        <row r="191">
          <cell r="H191">
            <v>190</v>
          </cell>
          <cell r="I191">
            <v>6.8300000000000001E-4</v>
          </cell>
          <cell r="J191">
            <v>8.6693999999999993E-2</v>
          </cell>
          <cell r="K191">
            <v>2.8530000000000001E-3</v>
          </cell>
          <cell r="L191">
            <v>1.75E-3</v>
          </cell>
        </row>
        <row r="192">
          <cell r="H192">
            <v>191</v>
          </cell>
          <cell r="I192">
            <v>6.8300000000000001E-4</v>
          </cell>
          <cell r="J192">
            <v>8.6693999999999993E-2</v>
          </cell>
          <cell r="K192">
            <v>2.8530000000000001E-3</v>
          </cell>
          <cell r="L192">
            <v>1.75E-3</v>
          </cell>
        </row>
        <row r="193">
          <cell r="H193">
            <v>192</v>
          </cell>
          <cell r="I193">
            <v>6.8300000000000001E-4</v>
          </cell>
          <cell r="J193">
            <v>8.6693999999999993E-2</v>
          </cell>
          <cell r="K193">
            <v>2.8530000000000001E-3</v>
          </cell>
          <cell r="L193">
            <v>1.75E-3</v>
          </cell>
        </row>
        <row r="194">
          <cell r="H194">
            <v>193</v>
          </cell>
          <cell r="I194">
            <v>6.8300000000000001E-4</v>
          </cell>
          <cell r="J194">
            <v>8.6693999999999993E-2</v>
          </cell>
          <cell r="K194">
            <v>2.8530000000000001E-3</v>
          </cell>
          <cell r="L194">
            <v>1.75E-3</v>
          </cell>
        </row>
        <row r="195">
          <cell r="H195">
            <v>194</v>
          </cell>
          <cell r="I195">
            <v>6.8300000000000001E-4</v>
          </cell>
          <cell r="J195">
            <v>8.6693999999999993E-2</v>
          </cell>
          <cell r="K195">
            <v>2.8530000000000001E-3</v>
          </cell>
          <cell r="L195">
            <v>1.75E-3</v>
          </cell>
        </row>
        <row r="196">
          <cell r="H196">
            <v>195</v>
          </cell>
          <cell r="I196">
            <v>6.8300000000000001E-4</v>
          </cell>
          <cell r="J196">
            <v>8.6693999999999993E-2</v>
          </cell>
          <cell r="K196">
            <v>2.8530000000000001E-3</v>
          </cell>
          <cell r="L196">
            <v>1.75E-3</v>
          </cell>
        </row>
        <row r="197">
          <cell r="H197">
            <v>196</v>
          </cell>
          <cell r="I197">
            <v>6.8300000000000001E-4</v>
          </cell>
          <cell r="J197">
            <v>8.6693999999999993E-2</v>
          </cell>
          <cell r="K197">
            <v>2.8530000000000001E-3</v>
          </cell>
          <cell r="L197">
            <v>1.75E-3</v>
          </cell>
        </row>
        <row r="198">
          <cell r="H198">
            <v>197</v>
          </cell>
          <cell r="I198">
            <v>6.8300000000000001E-4</v>
          </cell>
          <cell r="J198">
            <v>8.6693999999999993E-2</v>
          </cell>
          <cell r="K198">
            <v>2.8530000000000001E-3</v>
          </cell>
          <cell r="L198">
            <v>1.75E-3</v>
          </cell>
        </row>
        <row r="199">
          <cell r="H199">
            <v>198</v>
          </cell>
          <cell r="I199">
            <v>6.8300000000000001E-4</v>
          </cell>
          <cell r="J199">
            <v>8.6693999999999993E-2</v>
          </cell>
          <cell r="K199">
            <v>2.8530000000000001E-3</v>
          </cell>
          <cell r="L199">
            <v>1.75E-3</v>
          </cell>
        </row>
        <row r="200">
          <cell r="H200">
            <v>199</v>
          </cell>
          <cell r="I200">
            <v>6.8300000000000001E-4</v>
          </cell>
          <cell r="J200">
            <v>8.6693999999999993E-2</v>
          </cell>
          <cell r="K200">
            <v>2.8530000000000001E-3</v>
          </cell>
          <cell r="L200">
            <v>1.75E-3</v>
          </cell>
        </row>
        <row r="201">
          <cell r="H201">
            <v>200</v>
          </cell>
          <cell r="I201">
            <v>6.8300000000000001E-4</v>
          </cell>
          <cell r="J201">
            <v>8.6693999999999993E-2</v>
          </cell>
          <cell r="K201">
            <v>2.8530000000000001E-3</v>
          </cell>
          <cell r="L201">
            <v>1.75E-3</v>
          </cell>
        </row>
        <row r="202">
          <cell r="H202">
            <v>201</v>
          </cell>
          <cell r="I202">
            <v>6.8300000000000001E-4</v>
          </cell>
          <cell r="J202">
            <v>8.6693999999999993E-2</v>
          </cell>
          <cell r="K202">
            <v>2.8530000000000001E-3</v>
          </cell>
          <cell r="L202">
            <v>1.75E-3</v>
          </cell>
        </row>
        <row r="203">
          <cell r="H203">
            <v>202</v>
          </cell>
          <cell r="I203">
            <v>6.8300000000000001E-4</v>
          </cell>
          <cell r="J203">
            <v>8.6693999999999993E-2</v>
          </cell>
          <cell r="K203">
            <v>2.8530000000000001E-3</v>
          </cell>
          <cell r="L203">
            <v>1.75E-3</v>
          </cell>
        </row>
        <row r="204">
          <cell r="H204">
            <v>203</v>
          </cell>
          <cell r="I204">
            <v>6.8300000000000001E-4</v>
          </cell>
          <cell r="J204">
            <v>8.6693999999999993E-2</v>
          </cell>
          <cell r="K204">
            <v>2.8530000000000001E-3</v>
          </cell>
          <cell r="L204">
            <v>1.75E-3</v>
          </cell>
        </row>
        <row r="205">
          <cell r="H205">
            <v>204</v>
          </cell>
          <cell r="I205">
            <v>6.8300000000000001E-4</v>
          </cell>
          <cell r="J205">
            <v>8.6693999999999993E-2</v>
          </cell>
          <cell r="K205">
            <v>2.8530000000000001E-3</v>
          </cell>
          <cell r="L205">
            <v>1.75E-3</v>
          </cell>
        </row>
        <row r="206">
          <cell r="H206">
            <v>205</v>
          </cell>
          <cell r="I206">
            <v>6.8300000000000001E-4</v>
          </cell>
          <cell r="J206">
            <v>8.6693999999999993E-2</v>
          </cell>
          <cell r="K206">
            <v>2.8530000000000001E-3</v>
          </cell>
          <cell r="L206">
            <v>1.75E-3</v>
          </cell>
        </row>
        <row r="207">
          <cell r="H207">
            <v>206</v>
          </cell>
          <cell r="I207">
            <v>6.8300000000000001E-4</v>
          </cell>
          <cell r="J207">
            <v>8.6693999999999993E-2</v>
          </cell>
          <cell r="K207">
            <v>2.8530000000000001E-3</v>
          </cell>
          <cell r="L207">
            <v>1.75E-3</v>
          </cell>
        </row>
        <row r="208">
          <cell r="H208">
            <v>207</v>
          </cell>
          <cell r="I208">
            <v>6.8300000000000001E-4</v>
          </cell>
          <cell r="J208">
            <v>8.6693999999999993E-2</v>
          </cell>
          <cell r="K208">
            <v>2.8530000000000001E-3</v>
          </cell>
          <cell r="L208">
            <v>1.75E-3</v>
          </cell>
        </row>
        <row r="209">
          <cell r="H209">
            <v>208</v>
          </cell>
          <cell r="I209">
            <v>6.8300000000000001E-4</v>
          </cell>
          <cell r="J209">
            <v>8.6693999999999993E-2</v>
          </cell>
          <cell r="K209">
            <v>2.8530000000000001E-3</v>
          </cell>
          <cell r="L209">
            <v>1.75E-3</v>
          </cell>
        </row>
        <row r="210">
          <cell r="H210">
            <v>209</v>
          </cell>
          <cell r="I210">
            <v>6.8300000000000001E-4</v>
          </cell>
          <cell r="J210">
            <v>8.6693999999999993E-2</v>
          </cell>
          <cell r="K210">
            <v>2.8530000000000001E-3</v>
          </cell>
          <cell r="L210">
            <v>1.75E-3</v>
          </cell>
        </row>
        <row r="211">
          <cell r="H211">
            <v>210</v>
          </cell>
          <cell r="I211">
            <v>6.8300000000000001E-4</v>
          </cell>
          <cell r="J211">
            <v>8.6693999999999993E-2</v>
          </cell>
          <cell r="K211">
            <v>2.8530000000000001E-3</v>
          </cell>
          <cell r="L211">
            <v>1.75E-3</v>
          </cell>
        </row>
        <row r="212">
          <cell r="H212">
            <v>211</v>
          </cell>
          <cell r="I212">
            <v>6.8300000000000001E-4</v>
          </cell>
          <cell r="J212">
            <v>8.6693999999999993E-2</v>
          </cell>
          <cell r="K212">
            <v>2.8530000000000001E-3</v>
          </cell>
          <cell r="L212">
            <v>1.75E-3</v>
          </cell>
        </row>
        <row r="213">
          <cell r="H213">
            <v>212</v>
          </cell>
          <cell r="I213">
            <v>6.8300000000000001E-4</v>
          </cell>
          <cell r="J213">
            <v>8.6693999999999993E-2</v>
          </cell>
          <cell r="K213">
            <v>2.8530000000000001E-3</v>
          </cell>
          <cell r="L213">
            <v>1.75E-3</v>
          </cell>
        </row>
        <row r="214">
          <cell r="H214">
            <v>213</v>
          </cell>
          <cell r="I214">
            <v>6.8300000000000001E-4</v>
          </cell>
          <cell r="J214">
            <v>8.6693999999999993E-2</v>
          </cell>
          <cell r="K214">
            <v>2.8530000000000001E-3</v>
          </cell>
          <cell r="L214">
            <v>1.75E-3</v>
          </cell>
        </row>
        <row r="215">
          <cell r="H215">
            <v>214</v>
          </cell>
          <cell r="I215">
            <v>6.8300000000000001E-4</v>
          </cell>
          <cell r="J215">
            <v>8.6693999999999993E-2</v>
          </cell>
          <cell r="K215">
            <v>2.8530000000000001E-3</v>
          </cell>
          <cell r="L215">
            <v>1.75E-3</v>
          </cell>
        </row>
        <row r="216">
          <cell r="H216">
            <v>215</v>
          </cell>
          <cell r="I216">
            <v>6.8300000000000001E-4</v>
          </cell>
          <cell r="J216">
            <v>8.6693999999999993E-2</v>
          </cell>
          <cell r="K216">
            <v>2.8530000000000001E-3</v>
          </cell>
          <cell r="L216">
            <v>1.75E-3</v>
          </cell>
        </row>
        <row r="217">
          <cell r="H217">
            <v>216</v>
          </cell>
          <cell r="I217">
            <v>6.8300000000000001E-4</v>
          </cell>
          <cell r="J217">
            <v>8.6693999999999993E-2</v>
          </cell>
          <cell r="K217">
            <v>2.8530000000000001E-3</v>
          </cell>
          <cell r="L217">
            <v>1.75E-3</v>
          </cell>
        </row>
        <row r="218">
          <cell r="H218">
            <v>217</v>
          </cell>
          <cell r="I218">
            <v>6.8300000000000001E-4</v>
          </cell>
          <cell r="J218">
            <v>8.6693999999999993E-2</v>
          </cell>
          <cell r="K218">
            <v>2.8530000000000001E-3</v>
          </cell>
          <cell r="L218">
            <v>1.75E-3</v>
          </cell>
        </row>
        <row r="219">
          <cell r="H219">
            <v>218</v>
          </cell>
          <cell r="I219">
            <v>6.8300000000000001E-4</v>
          </cell>
          <cell r="J219">
            <v>8.6693999999999993E-2</v>
          </cell>
          <cell r="K219">
            <v>2.8530000000000001E-3</v>
          </cell>
          <cell r="L219">
            <v>1.75E-3</v>
          </cell>
        </row>
        <row r="220">
          <cell r="H220">
            <v>219</v>
          </cell>
          <cell r="I220">
            <v>6.8300000000000001E-4</v>
          </cell>
          <cell r="J220">
            <v>8.6693999999999993E-2</v>
          </cell>
          <cell r="K220">
            <v>2.8530000000000001E-3</v>
          </cell>
          <cell r="L220">
            <v>1.75E-3</v>
          </cell>
        </row>
        <row r="221">
          <cell r="H221">
            <v>220</v>
          </cell>
          <cell r="I221">
            <v>6.8300000000000001E-4</v>
          </cell>
          <cell r="J221">
            <v>8.6693999999999993E-2</v>
          </cell>
          <cell r="K221">
            <v>2.8530000000000001E-3</v>
          </cell>
          <cell r="L221">
            <v>1.75E-3</v>
          </cell>
        </row>
        <row r="222">
          <cell r="H222">
            <v>221</v>
          </cell>
          <cell r="I222">
            <v>6.8300000000000001E-4</v>
          </cell>
          <cell r="J222">
            <v>8.6693999999999993E-2</v>
          </cell>
          <cell r="K222">
            <v>2.8530000000000001E-3</v>
          </cell>
          <cell r="L222">
            <v>1.75E-3</v>
          </cell>
        </row>
        <row r="223">
          <cell r="H223">
            <v>222</v>
          </cell>
          <cell r="I223">
            <v>6.8300000000000001E-4</v>
          </cell>
          <cell r="J223">
            <v>8.6693999999999993E-2</v>
          </cell>
          <cell r="K223">
            <v>2.8530000000000001E-3</v>
          </cell>
          <cell r="L223">
            <v>1.75E-3</v>
          </cell>
        </row>
        <row r="224">
          <cell r="H224">
            <v>223</v>
          </cell>
          <cell r="I224">
            <v>6.8300000000000001E-4</v>
          </cell>
          <cell r="J224">
            <v>8.6693999999999993E-2</v>
          </cell>
          <cell r="K224">
            <v>2.8530000000000001E-3</v>
          </cell>
          <cell r="L224">
            <v>1.75E-3</v>
          </cell>
        </row>
        <row r="225">
          <cell r="H225">
            <v>224</v>
          </cell>
          <cell r="I225">
            <v>6.8300000000000001E-4</v>
          </cell>
          <cell r="J225">
            <v>8.6693999999999993E-2</v>
          </cell>
          <cell r="K225">
            <v>2.8530000000000001E-3</v>
          </cell>
          <cell r="L225">
            <v>1.75E-3</v>
          </cell>
        </row>
        <row r="226">
          <cell r="H226">
            <v>225</v>
          </cell>
          <cell r="I226">
            <v>6.8300000000000001E-4</v>
          </cell>
          <cell r="J226">
            <v>8.6693999999999993E-2</v>
          </cell>
          <cell r="K226">
            <v>2.8530000000000001E-3</v>
          </cell>
          <cell r="L226">
            <v>1.75E-3</v>
          </cell>
        </row>
        <row r="227">
          <cell r="H227">
            <v>226</v>
          </cell>
          <cell r="I227">
            <v>6.8300000000000001E-4</v>
          </cell>
          <cell r="J227">
            <v>8.6693999999999993E-2</v>
          </cell>
          <cell r="K227">
            <v>2.8530000000000001E-3</v>
          </cell>
          <cell r="L227">
            <v>1.75E-3</v>
          </cell>
        </row>
        <row r="228">
          <cell r="H228">
            <v>227</v>
          </cell>
          <cell r="I228">
            <v>6.8300000000000001E-4</v>
          </cell>
          <cell r="J228">
            <v>8.6693999999999993E-2</v>
          </cell>
          <cell r="K228">
            <v>2.8530000000000001E-3</v>
          </cell>
          <cell r="L228">
            <v>1.75E-3</v>
          </cell>
        </row>
        <row r="229">
          <cell r="H229">
            <v>228</v>
          </cell>
          <cell r="I229">
            <v>6.8300000000000001E-4</v>
          </cell>
          <cell r="J229">
            <v>8.6693999999999993E-2</v>
          </cell>
          <cell r="K229">
            <v>2.8530000000000001E-3</v>
          </cell>
          <cell r="L229">
            <v>1.75E-3</v>
          </cell>
        </row>
        <row r="230">
          <cell r="H230">
            <v>229</v>
          </cell>
          <cell r="I230">
            <v>6.8300000000000001E-4</v>
          </cell>
          <cell r="J230">
            <v>8.6693999999999993E-2</v>
          </cell>
          <cell r="K230">
            <v>2.8530000000000001E-3</v>
          </cell>
          <cell r="L230">
            <v>1.75E-3</v>
          </cell>
        </row>
        <row r="231">
          <cell r="H231">
            <v>230</v>
          </cell>
          <cell r="I231">
            <v>6.8300000000000001E-4</v>
          </cell>
          <cell r="J231">
            <v>8.6693999999999993E-2</v>
          </cell>
          <cell r="K231">
            <v>2.8530000000000001E-3</v>
          </cell>
          <cell r="L231">
            <v>1.75E-3</v>
          </cell>
        </row>
        <row r="232">
          <cell r="H232">
            <v>231</v>
          </cell>
          <cell r="I232">
            <v>6.8300000000000001E-4</v>
          </cell>
          <cell r="J232">
            <v>8.6693999999999993E-2</v>
          </cell>
          <cell r="K232">
            <v>2.8530000000000001E-3</v>
          </cell>
          <cell r="L232">
            <v>1.75E-3</v>
          </cell>
        </row>
        <row r="233">
          <cell r="H233">
            <v>232</v>
          </cell>
          <cell r="I233">
            <v>6.8300000000000001E-4</v>
          </cell>
          <cell r="J233">
            <v>8.6693999999999993E-2</v>
          </cell>
          <cell r="K233">
            <v>2.8530000000000001E-3</v>
          </cell>
          <cell r="L233">
            <v>1.75E-3</v>
          </cell>
        </row>
        <row r="234">
          <cell r="H234">
            <v>233</v>
          </cell>
          <cell r="I234">
            <v>6.8300000000000001E-4</v>
          </cell>
          <cell r="J234">
            <v>8.6693999999999993E-2</v>
          </cell>
          <cell r="K234">
            <v>2.8530000000000001E-3</v>
          </cell>
          <cell r="L234">
            <v>1.75E-3</v>
          </cell>
        </row>
        <row r="235">
          <cell r="H235">
            <v>234</v>
          </cell>
          <cell r="I235">
            <v>6.8300000000000001E-4</v>
          </cell>
          <cell r="J235">
            <v>8.6693999999999993E-2</v>
          </cell>
          <cell r="K235">
            <v>2.8530000000000001E-3</v>
          </cell>
          <cell r="L235">
            <v>1.75E-3</v>
          </cell>
        </row>
        <row r="236">
          <cell r="H236">
            <v>235</v>
          </cell>
          <cell r="I236">
            <v>6.8300000000000001E-4</v>
          </cell>
          <cell r="J236">
            <v>8.6693999999999993E-2</v>
          </cell>
          <cell r="K236">
            <v>2.8530000000000001E-3</v>
          </cell>
          <cell r="L236">
            <v>1.75E-3</v>
          </cell>
        </row>
        <row r="237">
          <cell r="H237">
            <v>236</v>
          </cell>
          <cell r="I237">
            <v>6.8300000000000001E-4</v>
          </cell>
          <cell r="J237">
            <v>8.6693999999999993E-2</v>
          </cell>
          <cell r="K237">
            <v>2.8530000000000001E-3</v>
          </cell>
          <cell r="L237">
            <v>1.75E-3</v>
          </cell>
        </row>
        <row r="238">
          <cell r="H238">
            <v>237</v>
          </cell>
          <cell r="I238">
            <v>6.8300000000000001E-4</v>
          </cell>
          <cell r="J238">
            <v>8.6693999999999993E-2</v>
          </cell>
          <cell r="K238">
            <v>2.8530000000000001E-3</v>
          </cell>
          <cell r="L238">
            <v>1.75E-3</v>
          </cell>
        </row>
        <row r="239">
          <cell r="H239">
            <v>238</v>
          </cell>
          <cell r="I239">
            <v>6.8300000000000001E-4</v>
          </cell>
          <cell r="J239">
            <v>8.6693999999999993E-2</v>
          </cell>
          <cell r="K239">
            <v>2.8530000000000001E-3</v>
          </cell>
          <cell r="L239">
            <v>1.75E-3</v>
          </cell>
        </row>
        <row r="240">
          <cell r="H240">
            <v>239</v>
          </cell>
          <cell r="I240">
            <v>6.8300000000000001E-4</v>
          </cell>
          <cell r="J240">
            <v>8.6693999999999993E-2</v>
          </cell>
          <cell r="K240">
            <v>2.8530000000000001E-3</v>
          </cell>
          <cell r="L240">
            <v>1.75E-3</v>
          </cell>
        </row>
        <row r="241">
          <cell r="H241">
            <v>240</v>
          </cell>
          <cell r="I241">
            <v>6.8300000000000001E-4</v>
          </cell>
          <cell r="J241">
            <v>8.6693999999999993E-2</v>
          </cell>
          <cell r="K241">
            <v>2.8530000000000001E-3</v>
          </cell>
          <cell r="L241">
            <v>1.75E-3</v>
          </cell>
        </row>
        <row r="242">
          <cell r="H242">
            <v>241</v>
          </cell>
          <cell r="I242">
            <v>6.8300000000000001E-4</v>
          </cell>
          <cell r="J242">
            <v>8.6693999999999993E-2</v>
          </cell>
          <cell r="K242">
            <v>2.8530000000000001E-3</v>
          </cell>
          <cell r="L242">
            <v>1.75E-3</v>
          </cell>
        </row>
        <row r="243">
          <cell r="H243">
            <v>242</v>
          </cell>
          <cell r="I243">
            <v>6.8300000000000001E-4</v>
          </cell>
          <cell r="J243">
            <v>8.6693999999999993E-2</v>
          </cell>
          <cell r="K243">
            <v>2.8530000000000001E-3</v>
          </cell>
          <cell r="L243">
            <v>1.75E-3</v>
          </cell>
        </row>
        <row r="244">
          <cell r="H244">
            <v>243</v>
          </cell>
          <cell r="I244">
            <v>6.8300000000000001E-4</v>
          </cell>
          <cell r="J244">
            <v>8.6693999999999993E-2</v>
          </cell>
          <cell r="K244">
            <v>2.8530000000000001E-3</v>
          </cell>
          <cell r="L244">
            <v>1.75E-3</v>
          </cell>
        </row>
        <row r="245">
          <cell r="H245">
            <v>244</v>
          </cell>
          <cell r="I245">
            <v>6.8300000000000001E-4</v>
          </cell>
          <cell r="J245">
            <v>8.6693999999999993E-2</v>
          </cell>
          <cell r="K245">
            <v>2.8530000000000001E-3</v>
          </cell>
          <cell r="L245">
            <v>1.75E-3</v>
          </cell>
        </row>
        <row r="246">
          <cell r="H246">
            <v>245</v>
          </cell>
          <cell r="I246">
            <v>6.8300000000000001E-4</v>
          </cell>
          <cell r="J246">
            <v>8.6693999999999993E-2</v>
          </cell>
          <cell r="K246">
            <v>2.8530000000000001E-3</v>
          </cell>
          <cell r="L246">
            <v>1.75E-3</v>
          </cell>
        </row>
        <row r="247">
          <cell r="H247">
            <v>246</v>
          </cell>
          <cell r="I247">
            <v>6.8300000000000001E-4</v>
          </cell>
          <cell r="J247">
            <v>8.6693999999999993E-2</v>
          </cell>
          <cell r="K247">
            <v>2.8530000000000001E-3</v>
          </cell>
          <cell r="L247">
            <v>1.75E-3</v>
          </cell>
        </row>
        <row r="248">
          <cell r="H248">
            <v>247</v>
          </cell>
          <cell r="I248">
            <v>6.8300000000000001E-4</v>
          </cell>
          <cell r="J248">
            <v>8.6693999999999993E-2</v>
          </cell>
          <cell r="K248">
            <v>2.8530000000000001E-3</v>
          </cell>
          <cell r="L248">
            <v>1.75E-3</v>
          </cell>
        </row>
        <row r="249">
          <cell r="H249">
            <v>248</v>
          </cell>
          <cell r="I249">
            <v>6.8300000000000001E-4</v>
          </cell>
          <cell r="J249">
            <v>8.6693999999999993E-2</v>
          </cell>
          <cell r="K249">
            <v>2.8530000000000001E-3</v>
          </cell>
          <cell r="L249">
            <v>1.75E-3</v>
          </cell>
        </row>
        <row r="250">
          <cell r="H250">
            <v>249</v>
          </cell>
          <cell r="I250">
            <v>6.8300000000000001E-4</v>
          </cell>
          <cell r="J250">
            <v>8.6693999999999993E-2</v>
          </cell>
          <cell r="K250">
            <v>2.8530000000000001E-3</v>
          </cell>
          <cell r="L250">
            <v>1.75E-3</v>
          </cell>
        </row>
        <row r="251">
          <cell r="H251">
            <v>250</v>
          </cell>
          <cell r="I251">
            <v>6.8300000000000001E-4</v>
          </cell>
          <cell r="J251">
            <v>8.6693999999999993E-2</v>
          </cell>
          <cell r="K251">
            <v>2.8530000000000001E-3</v>
          </cell>
          <cell r="L251">
            <v>1.75E-3</v>
          </cell>
        </row>
        <row r="252">
          <cell r="H252">
            <v>251</v>
          </cell>
          <cell r="I252">
            <v>6.8300000000000001E-4</v>
          </cell>
          <cell r="J252">
            <v>8.6693999999999993E-2</v>
          </cell>
          <cell r="K252">
            <v>2.8530000000000001E-3</v>
          </cell>
          <cell r="L252">
            <v>1.75E-3</v>
          </cell>
        </row>
        <row r="253">
          <cell r="H253">
            <v>252</v>
          </cell>
          <cell r="I253">
            <v>6.8300000000000001E-4</v>
          </cell>
          <cell r="J253">
            <v>8.6693999999999993E-2</v>
          </cell>
          <cell r="K253">
            <v>2.8530000000000001E-3</v>
          </cell>
          <cell r="L253">
            <v>1.75E-3</v>
          </cell>
        </row>
        <row r="254">
          <cell r="H254">
            <v>253</v>
          </cell>
          <cell r="I254">
            <v>6.8300000000000001E-4</v>
          </cell>
          <cell r="J254">
            <v>8.6693999999999993E-2</v>
          </cell>
          <cell r="K254">
            <v>2.8530000000000001E-3</v>
          </cell>
          <cell r="L254">
            <v>1.75E-3</v>
          </cell>
        </row>
        <row r="255">
          <cell r="H255">
            <v>254</v>
          </cell>
          <cell r="I255">
            <v>6.8300000000000001E-4</v>
          </cell>
          <cell r="J255">
            <v>8.6693999999999993E-2</v>
          </cell>
          <cell r="K255">
            <v>2.8530000000000001E-3</v>
          </cell>
          <cell r="L255">
            <v>1.75E-3</v>
          </cell>
        </row>
        <row r="256">
          <cell r="H256">
            <v>255</v>
          </cell>
          <cell r="I256">
            <v>6.8300000000000001E-4</v>
          </cell>
          <cell r="J256">
            <v>8.6693999999999993E-2</v>
          </cell>
          <cell r="K256">
            <v>2.8530000000000001E-3</v>
          </cell>
          <cell r="L256">
            <v>1.75E-3</v>
          </cell>
        </row>
        <row r="257">
          <cell r="H257">
            <v>256</v>
          </cell>
          <cell r="I257">
            <v>6.8300000000000001E-4</v>
          </cell>
          <cell r="J257">
            <v>8.6693999999999993E-2</v>
          </cell>
          <cell r="K257">
            <v>2.8530000000000001E-3</v>
          </cell>
          <cell r="L257">
            <v>1.75E-3</v>
          </cell>
        </row>
        <row r="258">
          <cell r="H258">
            <v>257</v>
          </cell>
          <cell r="I258">
            <v>6.8300000000000001E-4</v>
          </cell>
          <cell r="J258">
            <v>8.6693999999999993E-2</v>
          </cell>
          <cell r="K258">
            <v>2.8530000000000001E-3</v>
          </cell>
          <cell r="L258">
            <v>1.75E-3</v>
          </cell>
        </row>
        <row r="259">
          <cell r="H259">
            <v>258</v>
          </cell>
          <cell r="I259">
            <v>6.8300000000000001E-4</v>
          </cell>
          <cell r="J259">
            <v>8.6693999999999993E-2</v>
          </cell>
          <cell r="K259">
            <v>2.8530000000000001E-3</v>
          </cell>
          <cell r="L259">
            <v>1.75E-3</v>
          </cell>
        </row>
        <row r="260">
          <cell r="H260">
            <v>259</v>
          </cell>
          <cell r="I260">
            <v>6.8300000000000001E-4</v>
          </cell>
          <cell r="J260">
            <v>8.6693999999999993E-2</v>
          </cell>
          <cell r="K260">
            <v>2.8530000000000001E-3</v>
          </cell>
          <cell r="L260">
            <v>1.75E-3</v>
          </cell>
        </row>
        <row r="261">
          <cell r="H261">
            <v>260</v>
          </cell>
          <cell r="I261">
            <v>6.8300000000000001E-4</v>
          </cell>
          <cell r="J261">
            <v>8.6693999999999993E-2</v>
          </cell>
          <cell r="K261">
            <v>2.8530000000000001E-3</v>
          </cell>
          <cell r="L261">
            <v>1.75E-3</v>
          </cell>
        </row>
        <row r="262">
          <cell r="H262">
            <v>261</v>
          </cell>
          <cell r="I262">
            <v>6.8300000000000001E-4</v>
          </cell>
          <cell r="J262">
            <v>8.6693999999999993E-2</v>
          </cell>
          <cell r="K262">
            <v>2.8530000000000001E-3</v>
          </cell>
          <cell r="L262">
            <v>1.75E-3</v>
          </cell>
        </row>
        <row r="263">
          <cell r="H263">
            <v>262</v>
          </cell>
          <cell r="I263">
            <v>6.8300000000000001E-4</v>
          </cell>
          <cell r="J263">
            <v>8.6693999999999993E-2</v>
          </cell>
          <cell r="K263">
            <v>2.8530000000000001E-3</v>
          </cell>
          <cell r="L263">
            <v>1.75E-3</v>
          </cell>
        </row>
        <row r="264">
          <cell r="H264">
            <v>263</v>
          </cell>
          <cell r="I264">
            <v>6.8300000000000001E-4</v>
          </cell>
          <cell r="J264">
            <v>8.6693999999999993E-2</v>
          </cell>
          <cell r="K264">
            <v>2.8530000000000001E-3</v>
          </cell>
          <cell r="L264">
            <v>1.75E-3</v>
          </cell>
        </row>
        <row r="265">
          <cell r="H265">
            <v>264</v>
          </cell>
          <cell r="I265">
            <v>6.8300000000000001E-4</v>
          </cell>
          <cell r="J265">
            <v>8.6693999999999993E-2</v>
          </cell>
          <cell r="K265">
            <v>2.8530000000000001E-3</v>
          </cell>
          <cell r="L265">
            <v>1.75E-3</v>
          </cell>
        </row>
        <row r="266">
          <cell r="H266">
            <v>265</v>
          </cell>
          <cell r="I266">
            <v>6.8300000000000001E-4</v>
          </cell>
          <cell r="J266">
            <v>8.6693999999999993E-2</v>
          </cell>
          <cell r="K266">
            <v>2.8530000000000001E-3</v>
          </cell>
          <cell r="L266">
            <v>1.75E-3</v>
          </cell>
        </row>
        <row r="267">
          <cell r="H267">
            <v>266</v>
          </cell>
          <cell r="I267">
            <v>6.8300000000000001E-4</v>
          </cell>
          <cell r="J267">
            <v>8.6693999999999993E-2</v>
          </cell>
          <cell r="K267">
            <v>2.8530000000000001E-3</v>
          </cell>
          <cell r="L267">
            <v>1.75E-3</v>
          </cell>
        </row>
        <row r="268">
          <cell r="H268">
            <v>267</v>
          </cell>
          <cell r="I268">
            <v>6.8300000000000001E-4</v>
          </cell>
          <cell r="J268">
            <v>8.6693999999999993E-2</v>
          </cell>
          <cell r="K268">
            <v>2.8530000000000001E-3</v>
          </cell>
          <cell r="L268">
            <v>1.75E-3</v>
          </cell>
        </row>
        <row r="269">
          <cell r="H269">
            <v>268</v>
          </cell>
          <cell r="I269">
            <v>6.8300000000000001E-4</v>
          </cell>
          <cell r="J269">
            <v>8.6693999999999993E-2</v>
          </cell>
          <cell r="K269">
            <v>2.8530000000000001E-3</v>
          </cell>
          <cell r="L269">
            <v>1.75E-3</v>
          </cell>
        </row>
        <row r="270">
          <cell r="H270">
            <v>269</v>
          </cell>
          <cell r="I270">
            <v>6.8300000000000001E-4</v>
          </cell>
          <cell r="J270">
            <v>8.6693999999999993E-2</v>
          </cell>
          <cell r="K270">
            <v>2.8530000000000001E-3</v>
          </cell>
          <cell r="L270">
            <v>1.75E-3</v>
          </cell>
        </row>
        <row r="271">
          <cell r="H271">
            <v>270</v>
          </cell>
          <cell r="I271">
            <v>6.8300000000000001E-4</v>
          </cell>
          <cell r="J271">
            <v>8.6693999999999993E-2</v>
          </cell>
          <cell r="K271">
            <v>2.8530000000000001E-3</v>
          </cell>
          <cell r="L271">
            <v>1.75E-3</v>
          </cell>
        </row>
        <row r="272">
          <cell r="H272">
            <v>271</v>
          </cell>
          <cell r="I272">
            <v>6.8300000000000001E-4</v>
          </cell>
          <cell r="J272">
            <v>8.6693999999999993E-2</v>
          </cell>
          <cell r="K272">
            <v>2.8530000000000001E-3</v>
          </cell>
          <cell r="L272">
            <v>1.75E-3</v>
          </cell>
        </row>
        <row r="273">
          <cell r="H273">
            <v>272</v>
          </cell>
          <cell r="I273">
            <v>6.8300000000000001E-4</v>
          </cell>
          <cell r="J273">
            <v>8.6693999999999993E-2</v>
          </cell>
          <cell r="K273">
            <v>2.8530000000000001E-3</v>
          </cell>
          <cell r="L273">
            <v>1.75E-3</v>
          </cell>
        </row>
        <row r="274">
          <cell r="H274">
            <v>273</v>
          </cell>
          <cell r="I274">
            <v>6.8300000000000001E-4</v>
          </cell>
          <cell r="J274">
            <v>8.6693999999999993E-2</v>
          </cell>
          <cell r="K274">
            <v>2.8530000000000001E-3</v>
          </cell>
          <cell r="L274">
            <v>1.75E-3</v>
          </cell>
        </row>
        <row r="275">
          <cell r="H275">
            <v>274</v>
          </cell>
          <cell r="I275">
            <v>6.8300000000000001E-4</v>
          </cell>
          <cell r="J275">
            <v>8.6693999999999993E-2</v>
          </cell>
          <cell r="K275">
            <v>2.8530000000000001E-3</v>
          </cell>
          <cell r="L275">
            <v>1.75E-3</v>
          </cell>
        </row>
        <row r="276">
          <cell r="H276">
            <v>275</v>
          </cell>
          <cell r="I276">
            <v>6.8300000000000001E-4</v>
          </cell>
          <cell r="J276">
            <v>8.6693999999999993E-2</v>
          </cell>
          <cell r="K276">
            <v>2.8530000000000001E-3</v>
          </cell>
          <cell r="L276">
            <v>1.75E-3</v>
          </cell>
        </row>
        <row r="277">
          <cell r="H277">
            <v>276</v>
          </cell>
          <cell r="I277">
            <v>6.8300000000000001E-4</v>
          </cell>
          <cell r="J277">
            <v>8.6693999999999993E-2</v>
          </cell>
          <cell r="K277">
            <v>2.8530000000000001E-3</v>
          </cell>
          <cell r="L277">
            <v>1.75E-3</v>
          </cell>
        </row>
        <row r="278">
          <cell r="H278">
            <v>277</v>
          </cell>
          <cell r="I278">
            <v>6.8300000000000001E-4</v>
          </cell>
          <cell r="J278">
            <v>8.6693999999999993E-2</v>
          </cell>
          <cell r="K278">
            <v>2.8530000000000001E-3</v>
          </cell>
          <cell r="L278">
            <v>1.75E-3</v>
          </cell>
        </row>
        <row r="279">
          <cell r="H279">
            <v>278</v>
          </cell>
          <cell r="I279">
            <v>6.8300000000000001E-4</v>
          </cell>
          <cell r="J279">
            <v>8.6693999999999993E-2</v>
          </cell>
          <cell r="K279">
            <v>2.8530000000000001E-3</v>
          </cell>
          <cell r="L279">
            <v>1.75E-3</v>
          </cell>
        </row>
        <row r="280">
          <cell r="H280">
            <v>279</v>
          </cell>
          <cell r="I280">
            <v>6.8300000000000001E-4</v>
          </cell>
          <cell r="J280">
            <v>8.6693999999999993E-2</v>
          </cell>
          <cell r="K280">
            <v>2.8530000000000001E-3</v>
          </cell>
          <cell r="L280">
            <v>1.75E-3</v>
          </cell>
        </row>
        <row r="281">
          <cell r="H281">
            <v>280</v>
          </cell>
          <cell r="I281">
            <v>6.8300000000000001E-4</v>
          </cell>
          <cell r="J281">
            <v>8.6693999999999993E-2</v>
          </cell>
          <cell r="K281">
            <v>2.8530000000000001E-3</v>
          </cell>
          <cell r="L281">
            <v>1.75E-3</v>
          </cell>
        </row>
        <row r="282">
          <cell r="H282">
            <v>281</v>
          </cell>
          <cell r="I282">
            <v>6.8300000000000001E-4</v>
          </cell>
          <cell r="J282">
            <v>8.6693999999999993E-2</v>
          </cell>
          <cell r="K282">
            <v>2.8530000000000001E-3</v>
          </cell>
          <cell r="L282">
            <v>1.75E-3</v>
          </cell>
        </row>
        <row r="283">
          <cell r="H283">
            <v>282</v>
          </cell>
          <cell r="I283">
            <v>6.8300000000000001E-4</v>
          </cell>
          <cell r="J283">
            <v>8.6693999999999993E-2</v>
          </cell>
          <cell r="K283">
            <v>2.8530000000000001E-3</v>
          </cell>
          <cell r="L283">
            <v>1.75E-3</v>
          </cell>
        </row>
        <row r="284">
          <cell r="H284">
            <v>283</v>
          </cell>
          <cell r="I284">
            <v>6.8300000000000001E-4</v>
          </cell>
          <cell r="J284">
            <v>8.6693999999999993E-2</v>
          </cell>
          <cell r="K284">
            <v>2.8530000000000001E-3</v>
          </cell>
          <cell r="L284">
            <v>1.75E-3</v>
          </cell>
        </row>
        <row r="285">
          <cell r="H285">
            <v>284</v>
          </cell>
          <cell r="I285">
            <v>6.8300000000000001E-4</v>
          </cell>
          <cell r="J285">
            <v>8.6693999999999993E-2</v>
          </cell>
          <cell r="K285">
            <v>2.8530000000000001E-3</v>
          </cell>
          <cell r="L285">
            <v>1.75E-3</v>
          </cell>
        </row>
        <row r="286">
          <cell r="H286">
            <v>285</v>
          </cell>
          <cell r="I286">
            <v>6.8300000000000001E-4</v>
          </cell>
          <cell r="J286">
            <v>8.6693999999999993E-2</v>
          </cell>
          <cell r="K286">
            <v>2.8530000000000001E-3</v>
          </cell>
          <cell r="L286">
            <v>1.75E-3</v>
          </cell>
        </row>
        <row r="287">
          <cell r="H287">
            <v>286</v>
          </cell>
          <cell r="I287">
            <v>6.8300000000000001E-4</v>
          </cell>
          <cell r="J287">
            <v>8.6693999999999993E-2</v>
          </cell>
          <cell r="K287">
            <v>2.8530000000000001E-3</v>
          </cell>
          <cell r="L287">
            <v>1.75E-3</v>
          </cell>
        </row>
        <row r="288">
          <cell r="H288">
            <v>287</v>
          </cell>
          <cell r="I288">
            <v>6.8300000000000001E-4</v>
          </cell>
          <cell r="J288">
            <v>8.6693999999999993E-2</v>
          </cell>
          <cell r="K288">
            <v>2.8530000000000001E-3</v>
          </cell>
          <cell r="L288">
            <v>1.75E-3</v>
          </cell>
        </row>
        <row r="289">
          <cell r="H289">
            <v>288</v>
          </cell>
          <cell r="I289">
            <v>6.8300000000000001E-4</v>
          </cell>
          <cell r="J289">
            <v>8.6693999999999993E-2</v>
          </cell>
          <cell r="K289">
            <v>2.8530000000000001E-3</v>
          </cell>
          <cell r="L289">
            <v>1.75E-3</v>
          </cell>
        </row>
        <row r="290">
          <cell r="H290">
            <v>289</v>
          </cell>
          <cell r="I290">
            <v>6.8300000000000001E-4</v>
          </cell>
          <cell r="J290">
            <v>8.6693999999999993E-2</v>
          </cell>
          <cell r="K290">
            <v>2.8530000000000001E-3</v>
          </cell>
          <cell r="L290">
            <v>1.75E-3</v>
          </cell>
        </row>
        <row r="291">
          <cell r="H291">
            <v>290</v>
          </cell>
          <cell r="I291">
            <v>6.8300000000000001E-4</v>
          </cell>
          <cell r="J291">
            <v>8.6693999999999993E-2</v>
          </cell>
          <cell r="K291">
            <v>2.8530000000000001E-3</v>
          </cell>
          <cell r="L291">
            <v>1.75E-3</v>
          </cell>
        </row>
        <row r="292">
          <cell r="H292">
            <v>291</v>
          </cell>
          <cell r="I292">
            <v>6.8300000000000001E-4</v>
          </cell>
          <cell r="J292">
            <v>8.6693999999999993E-2</v>
          </cell>
          <cell r="K292">
            <v>2.8530000000000001E-3</v>
          </cell>
          <cell r="L292">
            <v>1.75E-3</v>
          </cell>
        </row>
        <row r="293">
          <cell r="H293">
            <v>292</v>
          </cell>
          <cell r="I293">
            <v>6.8300000000000001E-4</v>
          </cell>
          <cell r="J293">
            <v>8.6693999999999993E-2</v>
          </cell>
          <cell r="K293">
            <v>2.8530000000000001E-3</v>
          </cell>
          <cell r="L293">
            <v>1.75E-3</v>
          </cell>
        </row>
        <row r="294">
          <cell r="H294">
            <v>293</v>
          </cell>
          <cell r="I294">
            <v>6.8300000000000001E-4</v>
          </cell>
          <cell r="J294">
            <v>8.6693999999999993E-2</v>
          </cell>
          <cell r="K294">
            <v>2.8530000000000001E-3</v>
          </cell>
          <cell r="L294">
            <v>1.75E-3</v>
          </cell>
        </row>
        <row r="295">
          <cell r="H295">
            <v>294</v>
          </cell>
          <cell r="I295">
            <v>6.8300000000000001E-4</v>
          </cell>
          <cell r="J295">
            <v>8.6693999999999993E-2</v>
          </cell>
          <cell r="K295">
            <v>2.8530000000000001E-3</v>
          </cell>
          <cell r="L295">
            <v>1.75E-3</v>
          </cell>
        </row>
        <row r="296">
          <cell r="H296">
            <v>295</v>
          </cell>
          <cell r="I296">
            <v>6.8300000000000001E-4</v>
          </cell>
          <cell r="J296">
            <v>8.6693999999999993E-2</v>
          </cell>
          <cell r="K296">
            <v>2.8530000000000001E-3</v>
          </cell>
          <cell r="L296">
            <v>1.75E-3</v>
          </cell>
        </row>
        <row r="297">
          <cell r="H297">
            <v>296</v>
          </cell>
          <cell r="I297">
            <v>6.8300000000000001E-4</v>
          </cell>
          <cell r="J297">
            <v>8.6693999999999993E-2</v>
          </cell>
          <cell r="K297">
            <v>2.8530000000000001E-3</v>
          </cell>
          <cell r="L297">
            <v>1.75E-3</v>
          </cell>
        </row>
        <row r="298">
          <cell r="H298">
            <v>297</v>
          </cell>
          <cell r="I298">
            <v>6.8300000000000001E-4</v>
          </cell>
          <cell r="J298">
            <v>8.6693999999999993E-2</v>
          </cell>
          <cell r="K298">
            <v>2.8530000000000001E-3</v>
          </cell>
          <cell r="L298">
            <v>1.75E-3</v>
          </cell>
        </row>
        <row r="299">
          <cell r="H299">
            <v>298</v>
          </cell>
          <cell r="I299">
            <v>6.8300000000000001E-4</v>
          </cell>
          <cell r="J299">
            <v>8.6693999999999993E-2</v>
          </cell>
          <cell r="K299">
            <v>2.8530000000000001E-3</v>
          </cell>
          <cell r="L299">
            <v>1.75E-3</v>
          </cell>
        </row>
        <row r="300">
          <cell r="H300">
            <v>299</v>
          </cell>
          <cell r="I300">
            <v>6.8300000000000001E-4</v>
          </cell>
          <cell r="J300">
            <v>8.6693999999999993E-2</v>
          </cell>
          <cell r="K300">
            <v>2.8530000000000001E-3</v>
          </cell>
          <cell r="L300">
            <v>1.75E-3</v>
          </cell>
        </row>
        <row r="301">
          <cell r="H301">
            <v>300</v>
          </cell>
          <cell r="I301">
            <v>6.8300000000000001E-4</v>
          </cell>
          <cell r="J301">
            <v>8.6693999999999993E-2</v>
          </cell>
          <cell r="K301">
            <v>2.8530000000000001E-3</v>
          </cell>
          <cell r="L301">
            <v>1.75E-3</v>
          </cell>
        </row>
        <row r="302">
          <cell r="H302">
            <v>301</v>
          </cell>
          <cell r="I302">
            <v>6.8300000000000001E-4</v>
          </cell>
          <cell r="J302">
            <v>8.6693999999999993E-2</v>
          </cell>
          <cell r="K302">
            <v>2.8530000000000001E-3</v>
          </cell>
          <cell r="L302">
            <v>1.75E-3</v>
          </cell>
        </row>
        <row r="303">
          <cell r="H303">
            <v>302</v>
          </cell>
          <cell r="I303">
            <v>6.8300000000000001E-4</v>
          </cell>
          <cell r="J303">
            <v>8.6693999999999993E-2</v>
          </cell>
          <cell r="K303">
            <v>2.8530000000000001E-3</v>
          </cell>
          <cell r="L303">
            <v>1.75E-3</v>
          </cell>
        </row>
        <row r="304">
          <cell r="H304">
            <v>303</v>
          </cell>
          <cell r="I304">
            <v>6.8300000000000001E-4</v>
          </cell>
          <cell r="J304">
            <v>8.6693999999999993E-2</v>
          </cell>
          <cell r="K304">
            <v>2.8530000000000001E-3</v>
          </cell>
          <cell r="L304">
            <v>1.75E-3</v>
          </cell>
        </row>
        <row r="305">
          <cell r="H305">
            <v>304</v>
          </cell>
          <cell r="I305">
            <v>6.8300000000000001E-4</v>
          </cell>
          <cell r="J305">
            <v>8.6693999999999993E-2</v>
          </cell>
          <cell r="K305">
            <v>2.8530000000000001E-3</v>
          </cell>
          <cell r="L305">
            <v>1.75E-3</v>
          </cell>
        </row>
        <row r="306">
          <cell r="H306">
            <v>305</v>
          </cell>
          <cell r="I306">
            <v>6.8300000000000001E-4</v>
          </cell>
          <cell r="J306">
            <v>8.6693999999999993E-2</v>
          </cell>
          <cell r="K306">
            <v>2.8530000000000001E-3</v>
          </cell>
          <cell r="L306">
            <v>1.75E-3</v>
          </cell>
        </row>
        <row r="307">
          <cell r="H307">
            <v>306</v>
          </cell>
          <cell r="I307">
            <v>6.8300000000000001E-4</v>
          </cell>
          <cell r="J307">
            <v>8.6693999999999993E-2</v>
          </cell>
          <cell r="K307">
            <v>2.8530000000000001E-3</v>
          </cell>
          <cell r="L307">
            <v>1.75E-3</v>
          </cell>
        </row>
        <row r="308">
          <cell r="H308">
            <v>307</v>
          </cell>
          <cell r="I308">
            <v>6.8300000000000001E-4</v>
          </cell>
          <cell r="J308">
            <v>8.6693999999999993E-2</v>
          </cell>
          <cell r="K308">
            <v>2.8530000000000001E-3</v>
          </cell>
          <cell r="L308">
            <v>1.75E-3</v>
          </cell>
        </row>
        <row r="309">
          <cell r="H309">
            <v>308</v>
          </cell>
          <cell r="I309">
            <v>6.8300000000000001E-4</v>
          </cell>
          <cell r="J309">
            <v>8.6693999999999993E-2</v>
          </cell>
          <cell r="K309">
            <v>2.8530000000000001E-3</v>
          </cell>
          <cell r="L309">
            <v>1.75E-3</v>
          </cell>
        </row>
        <row r="310">
          <cell r="H310">
            <v>309</v>
          </cell>
          <cell r="I310">
            <v>6.8300000000000001E-4</v>
          </cell>
          <cell r="J310">
            <v>8.6693999999999993E-2</v>
          </cell>
          <cell r="K310">
            <v>2.8530000000000001E-3</v>
          </cell>
          <cell r="L310">
            <v>1.75E-3</v>
          </cell>
        </row>
        <row r="311">
          <cell r="H311">
            <v>310</v>
          </cell>
          <cell r="I311">
            <v>6.8300000000000001E-4</v>
          </cell>
          <cell r="J311">
            <v>8.6693999999999993E-2</v>
          </cell>
          <cell r="K311">
            <v>2.8530000000000001E-3</v>
          </cell>
          <cell r="L311">
            <v>1.75E-3</v>
          </cell>
        </row>
        <row r="312">
          <cell r="H312">
            <v>311</v>
          </cell>
          <cell r="I312">
            <v>6.8300000000000001E-4</v>
          </cell>
          <cell r="J312">
            <v>8.6693999999999993E-2</v>
          </cell>
          <cell r="K312">
            <v>2.8530000000000001E-3</v>
          </cell>
          <cell r="L312">
            <v>1.75E-3</v>
          </cell>
        </row>
        <row r="313">
          <cell r="H313">
            <v>312</v>
          </cell>
          <cell r="I313">
            <v>6.8300000000000001E-4</v>
          </cell>
          <cell r="J313">
            <v>8.6693999999999993E-2</v>
          </cell>
          <cell r="K313">
            <v>2.8530000000000001E-3</v>
          </cell>
          <cell r="L313">
            <v>1.75E-3</v>
          </cell>
        </row>
        <row r="314">
          <cell r="H314">
            <v>313</v>
          </cell>
          <cell r="I314">
            <v>6.8300000000000001E-4</v>
          </cell>
          <cell r="J314">
            <v>8.6693999999999993E-2</v>
          </cell>
          <cell r="K314">
            <v>2.8530000000000001E-3</v>
          </cell>
          <cell r="L314">
            <v>1.75E-3</v>
          </cell>
        </row>
        <row r="315">
          <cell r="H315">
            <v>314</v>
          </cell>
          <cell r="I315">
            <v>6.8300000000000001E-4</v>
          </cell>
          <cell r="J315">
            <v>8.6693999999999993E-2</v>
          </cell>
          <cell r="K315">
            <v>2.8530000000000001E-3</v>
          </cell>
          <cell r="L315">
            <v>1.75E-3</v>
          </cell>
        </row>
        <row r="316">
          <cell r="H316">
            <v>315</v>
          </cell>
          <cell r="I316">
            <v>6.8300000000000001E-4</v>
          </cell>
          <cell r="J316">
            <v>8.6693999999999993E-2</v>
          </cell>
          <cell r="K316">
            <v>2.8530000000000001E-3</v>
          </cell>
          <cell r="L316">
            <v>1.75E-3</v>
          </cell>
        </row>
        <row r="317">
          <cell r="H317">
            <v>316</v>
          </cell>
          <cell r="I317">
            <v>6.8300000000000001E-4</v>
          </cell>
          <cell r="J317">
            <v>8.6693999999999993E-2</v>
          </cell>
          <cell r="K317">
            <v>2.8530000000000001E-3</v>
          </cell>
          <cell r="L317">
            <v>1.75E-3</v>
          </cell>
        </row>
        <row r="318">
          <cell r="H318">
            <v>317</v>
          </cell>
          <cell r="I318">
            <v>6.8300000000000001E-4</v>
          </cell>
          <cell r="J318">
            <v>8.6693999999999993E-2</v>
          </cell>
          <cell r="K318">
            <v>2.8530000000000001E-3</v>
          </cell>
          <cell r="L318">
            <v>1.75E-3</v>
          </cell>
        </row>
        <row r="319">
          <cell r="H319">
            <v>318</v>
          </cell>
          <cell r="I319">
            <v>6.8300000000000001E-4</v>
          </cell>
          <cell r="J319">
            <v>8.6693999999999993E-2</v>
          </cell>
          <cell r="K319">
            <v>2.8530000000000001E-3</v>
          </cell>
          <cell r="L319">
            <v>1.75E-3</v>
          </cell>
        </row>
        <row r="320">
          <cell r="H320">
            <v>319</v>
          </cell>
          <cell r="I320">
            <v>6.8300000000000001E-4</v>
          </cell>
          <cell r="J320">
            <v>8.6693999999999993E-2</v>
          </cell>
          <cell r="K320">
            <v>2.8530000000000001E-3</v>
          </cell>
          <cell r="L320">
            <v>1.75E-3</v>
          </cell>
        </row>
        <row r="321">
          <cell r="H321">
            <v>320</v>
          </cell>
          <cell r="I321">
            <v>6.8300000000000001E-4</v>
          </cell>
          <cell r="J321">
            <v>8.6693999999999993E-2</v>
          </cell>
          <cell r="K321">
            <v>2.8530000000000001E-3</v>
          </cell>
          <cell r="L321">
            <v>1.75E-3</v>
          </cell>
        </row>
        <row r="322">
          <cell r="H322">
            <v>321</v>
          </cell>
          <cell r="I322">
            <v>6.8300000000000001E-4</v>
          </cell>
          <cell r="J322">
            <v>8.6693999999999993E-2</v>
          </cell>
          <cell r="K322">
            <v>2.8530000000000001E-3</v>
          </cell>
          <cell r="L322">
            <v>1.75E-3</v>
          </cell>
        </row>
        <row r="323">
          <cell r="H323">
            <v>322</v>
          </cell>
          <cell r="I323">
            <v>6.8300000000000001E-4</v>
          </cell>
          <cell r="J323">
            <v>8.6693999999999993E-2</v>
          </cell>
          <cell r="K323">
            <v>2.8530000000000001E-3</v>
          </cell>
          <cell r="L323">
            <v>1.75E-3</v>
          </cell>
        </row>
        <row r="324">
          <cell r="H324">
            <v>323</v>
          </cell>
          <cell r="I324">
            <v>6.8300000000000001E-4</v>
          </cell>
          <cell r="J324">
            <v>8.6693999999999993E-2</v>
          </cell>
          <cell r="K324">
            <v>2.8530000000000001E-3</v>
          </cell>
          <cell r="L324">
            <v>1.75E-3</v>
          </cell>
        </row>
        <row r="325">
          <cell r="H325">
            <v>324</v>
          </cell>
          <cell r="I325">
            <v>6.8300000000000001E-4</v>
          </cell>
          <cell r="J325">
            <v>8.6693999999999993E-2</v>
          </cell>
          <cell r="K325">
            <v>2.8530000000000001E-3</v>
          </cell>
          <cell r="L325">
            <v>1.75E-3</v>
          </cell>
        </row>
        <row r="326">
          <cell r="H326">
            <v>325</v>
          </cell>
          <cell r="I326">
            <v>6.8300000000000001E-4</v>
          </cell>
          <cell r="J326">
            <v>8.6693999999999993E-2</v>
          </cell>
          <cell r="K326">
            <v>2.8530000000000001E-3</v>
          </cell>
          <cell r="L326">
            <v>1.75E-3</v>
          </cell>
        </row>
        <row r="327">
          <cell r="H327">
            <v>326</v>
          </cell>
          <cell r="I327">
            <v>6.8300000000000001E-4</v>
          </cell>
          <cell r="J327">
            <v>8.6693999999999993E-2</v>
          </cell>
          <cell r="K327">
            <v>2.8530000000000001E-3</v>
          </cell>
          <cell r="L327">
            <v>1.75E-3</v>
          </cell>
        </row>
        <row r="328">
          <cell r="H328">
            <v>327</v>
          </cell>
          <cell r="I328">
            <v>6.8300000000000001E-4</v>
          </cell>
          <cell r="J328">
            <v>8.6693999999999993E-2</v>
          </cell>
          <cell r="K328">
            <v>2.8530000000000001E-3</v>
          </cell>
          <cell r="L328">
            <v>1.75E-3</v>
          </cell>
        </row>
        <row r="329">
          <cell r="H329">
            <v>328</v>
          </cell>
          <cell r="I329">
            <v>6.8300000000000001E-4</v>
          </cell>
          <cell r="J329">
            <v>8.6693999999999993E-2</v>
          </cell>
          <cell r="K329">
            <v>2.8530000000000001E-3</v>
          </cell>
          <cell r="L329">
            <v>1.75E-3</v>
          </cell>
        </row>
        <row r="330">
          <cell r="H330">
            <v>329</v>
          </cell>
          <cell r="I330">
            <v>6.8300000000000001E-4</v>
          </cell>
          <cell r="J330">
            <v>8.6693999999999993E-2</v>
          </cell>
          <cell r="K330">
            <v>2.8530000000000001E-3</v>
          </cell>
          <cell r="L330">
            <v>1.75E-3</v>
          </cell>
        </row>
        <row r="331">
          <cell r="H331">
            <v>330</v>
          </cell>
          <cell r="I331">
            <v>6.8300000000000001E-4</v>
          </cell>
          <cell r="J331">
            <v>8.6693999999999993E-2</v>
          </cell>
          <cell r="K331">
            <v>2.8530000000000001E-3</v>
          </cell>
          <cell r="L331">
            <v>1.75E-3</v>
          </cell>
        </row>
        <row r="332">
          <cell r="H332">
            <v>331</v>
          </cell>
          <cell r="I332">
            <v>6.8300000000000001E-4</v>
          </cell>
          <cell r="J332">
            <v>8.6693999999999993E-2</v>
          </cell>
          <cell r="K332">
            <v>2.8530000000000001E-3</v>
          </cell>
          <cell r="L332">
            <v>1.75E-3</v>
          </cell>
        </row>
        <row r="333">
          <cell r="H333">
            <v>332</v>
          </cell>
          <cell r="I333">
            <v>6.8300000000000001E-4</v>
          </cell>
          <cell r="J333">
            <v>8.6693999999999993E-2</v>
          </cell>
          <cell r="K333">
            <v>2.8530000000000001E-3</v>
          </cell>
          <cell r="L333">
            <v>1.75E-3</v>
          </cell>
        </row>
        <row r="334">
          <cell r="H334">
            <v>333</v>
          </cell>
          <cell r="I334">
            <v>6.8300000000000001E-4</v>
          </cell>
          <cell r="J334">
            <v>8.6693999999999993E-2</v>
          </cell>
          <cell r="K334">
            <v>2.8530000000000001E-3</v>
          </cell>
          <cell r="L334">
            <v>1.75E-3</v>
          </cell>
        </row>
        <row r="335">
          <cell r="H335">
            <v>334</v>
          </cell>
          <cell r="I335">
            <v>6.8300000000000001E-4</v>
          </cell>
          <cell r="J335">
            <v>8.6693999999999993E-2</v>
          </cell>
          <cell r="K335">
            <v>2.8530000000000001E-3</v>
          </cell>
          <cell r="L335">
            <v>1.75E-3</v>
          </cell>
        </row>
        <row r="336">
          <cell r="H336">
            <v>335</v>
          </cell>
          <cell r="I336">
            <v>6.8300000000000001E-4</v>
          </cell>
          <cell r="J336">
            <v>8.6693999999999993E-2</v>
          </cell>
          <cell r="K336">
            <v>2.8530000000000001E-3</v>
          </cell>
          <cell r="L336">
            <v>1.75E-3</v>
          </cell>
        </row>
        <row r="337">
          <cell r="H337">
            <v>336</v>
          </cell>
          <cell r="I337">
            <v>6.8300000000000001E-4</v>
          </cell>
          <cell r="J337">
            <v>8.6693999999999993E-2</v>
          </cell>
          <cell r="K337">
            <v>2.8530000000000001E-3</v>
          </cell>
          <cell r="L337">
            <v>1.75E-3</v>
          </cell>
        </row>
        <row r="338">
          <cell r="H338">
            <v>337</v>
          </cell>
          <cell r="I338">
            <v>6.8300000000000001E-4</v>
          </cell>
          <cell r="J338">
            <v>8.6693999999999993E-2</v>
          </cell>
          <cell r="K338">
            <v>2.8530000000000001E-3</v>
          </cell>
          <cell r="L338">
            <v>1.75E-3</v>
          </cell>
        </row>
        <row r="339">
          <cell r="H339">
            <v>338</v>
          </cell>
          <cell r="I339">
            <v>6.8300000000000001E-4</v>
          </cell>
          <cell r="J339">
            <v>8.6693999999999993E-2</v>
          </cell>
          <cell r="K339">
            <v>2.8530000000000001E-3</v>
          </cell>
          <cell r="L339">
            <v>1.75E-3</v>
          </cell>
        </row>
        <row r="340">
          <cell r="H340">
            <v>339</v>
          </cell>
          <cell r="I340">
            <v>6.8300000000000001E-4</v>
          </cell>
          <cell r="J340">
            <v>8.6693999999999993E-2</v>
          </cell>
          <cell r="K340">
            <v>2.8530000000000001E-3</v>
          </cell>
          <cell r="L340">
            <v>1.75E-3</v>
          </cell>
        </row>
        <row r="341">
          <cell r="H341">
            <v>340</v>
          </cell>
          <cell r="I341">
            <v>6.8300000000000001E-4</v>
          </cell>
          <cell r="J341">
            <v>8.6693999999999993E-2</v>
          </cell>
          <cell r="K341">
            <v>2.8530000000000001E-3</v>
          </cell>
          <cell r="L341">
            <v>1.75E-3</v>
          </cell>
        </row>
        <row r="342">
          <cell r="H342">
            <v>341</v>
          </cell>
          <cell r="I342">
            <v>6.8300000000000001E-4</v>
          </cell>
          <cell r="J342">
            <v>8.6693999999999993E-2</v>
          </cell>
          <cell r="K342">
            <v>2.8530000000000001E-3</v>
          </cell>
          <cell r="L342">
            <v>1.75E-3</v>
          </cell>
        </row>
        <row r="343">
          <cell r="H343">
            <v>342</v>
          </cell>
          <cell r="I343">
            <v>6.8300000000000001E-4</v>
          </cell>
          <cell r="J343">
            <v>8.6693999999999993E-2</v>
          </cell>
          <cell r="K343">
            <v>2.8530000000000001E-3</v>
          </cell>
          <cell r="L343">
            <v>1.75E-3</v>
          </cell>
        </row>
        <row r="344">
          <cell r="H344">
            <v>343</v>
          </cell>
          <cell r="I344">
            <v>6.8300000000000001E-4</v>
          </cell>
          <cell r="J344">
            <v>8.6693999999999993E-2</v>
          </cell>
          <cell r="K344">
            <v>2.8530000000000001E-3</v>
          </cell>
          <cell r="L344">
            <v>1.75E-3</v>
          </cell>
        </row>
        <row r="345">
          <cell r="H345">
            <v>344</v>
          </cell>
          <cell r="I345">
            <v>6.8300000000000001E-4</v>
          </cell>
          <cell r="J345">
            <v>8.6693999999999993E-2</v>
          </cell>
          <cell r="K345">
            <v>2.8530000000000001E-3</v>
          </cell>
          <cell r="L345">
            <v>1.75E-3</v>
          </cell>
        </row>
        <row r="346">
          <cell r="H346">
            <v>345</v>
          </cell>
          <cell r="I346">
            <v>6.8300000000000001E-4</v>
          </cell>
          <cell r="J346">
            <v>8.6693999999999993E-2</v>
          </cell>
          <cell r="K346">
            <v>2.8530000000000001E-3</v>
          </cell>
          <cell r="L346">
            <v>1.75E-3</v>
          </cell>
        </row>
        <row r="347">
          <cell r="H347">
            <v>346</v>
          </cell>
          <cell r="I347">
            <v>6.8300000000000001E-4</v>
          </cell>
          <cell r="J347">
            <v>8.6693999999999993E-2</v>
          </cell>
          <cell r="K347">
            <v>2.8530000000000001E-3</v>
          </cell>
          <cell r="L347">
            <v>1.75E-3</v>
          </cell>
        </row>
        <row r="348">
          <cell r="H348">
            <v>347</v>
          </cell>
          <cell r="I348">
            <v>6.8300000000000001E-4</v>
          </cell>
          <cell r="J348">
            <v>8.6693999999999993E-2</v>
          </cell>
          <cell r="K348">
            <v>2.8530000000000001E-3</v>
          </cell>
          <cell r="L348">
            <v>1.75E-3</v>
          </cell>
        </row>
        <row r="349">
          <cell r="H349">
            <v>348</v>
          </cell>
          <cell r="I349">
            <v>6.8300000000000001E-4</v>
          </cell>
          <cell r="J349">
            <v>8.6693999999999993E-2</v>
          </cell>
          <cell r="K349">
            <v>2.8530000000000001E-3</v>
          </cell>
          <cell r="L349">
            <v>1.75E-3</v>
          </cell>
        </row>
        <row r="350">
          <cell r="H350">
            <v>349</v>
          </cell>
          <cell r="I350">
            <v>6.8300000000000001E-4</v>
          </cell>
          <cell r="J350">
            <v>8.6693999999999993E-2</v>
          </cell>
          <cell r="K350">
            <v>2.8530000000000001E-3</v>
          </cell>
          <cell r="L350">
            <v>1.75E-3</v>
          </cell>
        </row>
        <row r="351">
          <cell r="H351">
            <v>350</v>
          </cell>
          <cell r="I351">
            <v>6.8300000000000001E-4</v>
          </cell>
          <cell r="J351">
            <v>8.6693999999999993E-2</v>
          </cell>
          <cell r="K351">
            <v>2.8530000000000001E-3</v>
          </cell>
          <cell r="L351">
            <v>1.75E-3</v>
          </cell>
        </row>
        <row r="352">
          <cell r="H352">
            <v>351</v>
          </cell>
          <cell r="I352">
            <v>6.8300000000000001E-4</v>
          </cell>
          <cell r="J352">
            <v>8.6693999999999993E-2</v>
          </cell>
          <cell r="K352">
            <v>2.8530000000000001E-3</v>
          </cell>
          <cell r="L352">
            <v>1.75E-3</v>
          </cell>
        </row>
        <row r="353">
          <cell r="H353">
            <v>352</v>
          </cell>
          <cell r="I353">
            <v>6.8300000000000001E-4</v>
          </cell>
          <cell r="J353">
            <v>8.6693999999999993E-2</v>
          </cell>
          <cell r="K353">
            <v>2.8530000000000001E-3</v>
          </cell>
          <cell r="L353">
            <v>1.75E-3</v>
          </cell>
        </row>
        <row r="354">
          <cell r="H354">
            <v>353</v>
          </cell>
          <cell r="I354">
            <v>6.8300000000000001E-4</v>
          </cell>
          <cell r="J354">
            <v>8.6693999999999993E-2</v>
          </cell>
          <cell r="K354">
            <v>2.8530000000000001E-3</v>
          </cell>
          <cell r="L354">
            <v>1.75E-3</v>
          </cell>
        </row>
        <row r="355">
          <cell r="H355">
            <v>354</v>
          </cell>
          <cell r="I355">
            <v>6.8300000000000001E-4</v>
          </cell>
          <cell r="J355">
            <v>8.6693999999999993E-2</v>
          </cell>
          <cell r="K355">
            <v>2.8530000000000001E-3</v>
          </cell>
          <cell r="L355">
            <v>1.75E-3</v>
          </cell>
        </row>
        <row r="356">
          <cell r="H356">
            <v>355</v>
          </cell>
          <cell r="I356">
            <v>6.8300000000000001E-4</v>
          </cell>
          <cell r="J356">
            <v>8.6693999999999993E-2</v>
          </cell>
          <cell r="K356">
            <v>2.8530000000000001E-3</v>
          </cell>
          <cell r="L356">
            <v>1.75E-3</v>
          </cell>
        </row>
        <row r="357">
          <cell r="H357">
            <v>356</v>
          </cell>
          <cell r="I357">
            <v>6.8300000000000001E-4</v>
          </cell>
          <cell r="J357">
            <v>8.6693999999999993E-2</v>
          </cell>
          <cell r="K357">
            <v>2.8530000000000001E-3</v>
          </cell>
          <cell r="L357">
            <v>1.75E-3</v>
          </cell>
        </row>
        <row r="358">
          <cell r="H358">
            <v>357</v>
          </cell>
          <cell r="I358">
            <v>6.8300000000000001E-4</v>
          </cell>
          <cell r="J358">
            <v>8.6693999999999993E-2</v>
          </cell>
          <cell r="K358">
            <v>2.8530000000000001E-3</v>
          </cell>
          <cell r="L358">
            <v>1.75E-3</v>
          </cell>
        </row>
        <row r="359">
          <cell r="H359">
            <v>358</v>
          </cell>
          <cell r="I359">
            <v>6.8300000000000001E-4</v>
          </cell>
          <cell r="J359">
            <v>8.6693999999999993E-2</v>
          </cell>
          <cell r="K359">
            <v>2.8530000000000001E-3</v>
          </cell>
          <cell r="L359">
            <v>1.75E-3</v>
          </cell>
        </row>
        <row r="360">
          <cell r="H360">
            <v>359</v>
          </cell>
          <cell r="I360">
            <v>6.8300000000000001E-4</v>
          </cell>
          <cell r="J360">
            <v>8.6693999999999993E-2</v>
          </cell>
          <cell r="K360">
            <v>2.8530000000000001E-3</v>
          </cell>
          <cell r="L360">
            <v>1.75E-3</v>
          </cell>
        </row>
        <row r="361">
          <cell r="H361">
            <v>360</v>
          </cell>
          <cell r="I361">
            <v>6.8300000000000001E-4</v>
          </cell>
          <cell r="J361">
            <v>8.6693999999999993E-2</v>
          </cell>
          <cell r="K361">
            <v>2.8530000000000001E-3</v>
          </cell>
          <cell r="L361">
            <v>1.75E-3</v>
          </cell>
        </row>
        <row r="362">
          <cell r="H362">
            <v>361</v>
          </cell>
          <cell r="I362">
            <v>6.8300000000000001E-4</v>
          </cell>
          <cell r="J362">
            <v>8.6693999999999993E-2</v>
          </cell>
          <cell r="K362">
            <v>2.8530000000000001E-3</v>
          </cell>
          <cell r="L362">
            <v>1.75E-3</v>
          </cell>
        </row>
        <row r="363">
          <cell r="H363">
            <v>362</v>
          </cell>
          <cell r="I363">
            <v>6.8300000000000001E-4</v>
          </cell>
          <cell r="J363">
            <v>8.6693999999999993E-2</v>
          </cell>
          <cell r="K363">
            <v>2.8530000000000001E-3</v>
          </cell>
          <cell r="L363">
            <v>1.75E-3</v>
          </cell>
        </row>
        <row r="364">
          <cell r="H364">
            <v>363</v>
          </cell>
          <cell r="I364">
            <v>6.8300000000000001E-4</v>
          </cell>
          <cell r="J364">
            <v>8.6693999999999993E-2</v>
          </cell>
          <cell r="K364">
            <v>2.8530000000000001E-3</v>
          </cell>
          <cell r="L364">
            <v>1.75E-3</v>
          </cell>
        </row>
        <row r="365">
          <cell r="H365">
            <v>364</v>
          </cell>
          <cell r="I365">
            <v>6.8300000000000001E-4</v>
          </cell>
          <cell r="J365">
            <v>8.6693999999999993E-2</v>
          </cell>
          <cell r="K365">
            <v>2.8530000000000001E-3</v>
          </cell>
          <cell r="L365">
            <v>1.75E-3</v>
          </cell>
        </row>
        <row r="366">
          <cell r="H366">
            <v>365</v>
          </cell>
          <cell r="I366">
            <v>6.8300000000000001E-4</v>
          </cell>
          <cell r="J366">
            <v>8.6693999999999993E-2</v>
          </cell>
          <cell r="K366">
            <v>2.8530000000000001E-3</v>
          </cell>
          <cell r="L366">
            <v>1.75E-3</v>
          </cell>
        </row>
        <row r="367">
          <cell r="H367">
            <v>366</v>
          </cell>
          <cell r="I367">
            <v>6.8300000000000001E-4</v>
          </cell>
          <cell r="J367">
            <v>8.6693999999999993E-2</v>
          </cell>
          <cell r="K367">
            <v>2.8530000000000001E-3</v>
          </cell>
          <cell r="L367">
            <v>1.75E-3</v>
          </cell>
        </row>
        <row r="368">
          <cell r="H368">
            <v>367</v>
          </cell>
          <cell r="I368">
            <v>6.8300000000000001E-4</v>
          </cell>
          <cell r="J368">
            <v>8.6693999999999993E-2</v>
          </cell>
          <cell r="K368">
            <v>2.8530000000000001E-3</v>
          </cell>
          <cell r="L368">
            <v>1.75E-3</v>
          </cell>
        </row>
        <row r="369">
          <cell r="H369">
            <v>368</v>
          </cell>
          <cell r="I369">
            <v>6.8300000000000001E-4</v>
          </cell>
          <cell r="J369">
            <v>8.6693999999999993E-2</v>
          </cell>
          <cell r="K369">
            <v>2.8530000000000001E-3</v>
          </cell>
          <cell r="L369">
            <v>1.75E-3</v>
          </cell>
        </row>
        <row r="370">
          <cell r="H370">
            <v>369</v>
          </cell>
          <cell r="I370">
            <v>6.8300000000000001E-4</v>
          </cell>
          <cell r="J370">
            <v>8.6693999999999993E-2</v>
          </cell>
          <cell r="K370">
            <v>2.8530000000000001E-3</v>
          </cell>
          <cell r="L370">
            <v>1.75E-3</v>
          </cell>
        </row>
        <row r="371">
          <cell r="H371">
            <v>370</v>
          </cell>
          <cell r="I371">
            <v>6.8300000000000001E-4</v>
          </cell>
          <cell r="J371">
            <v>8.6693999999999993E-2</v>
          </cell>
          <cell r="K371">
            <v>2.8530000000000001E-3</v>
          </cell>
          <cell r="L371">
            <v>1.75E-3</v>
          </cell>
        </row>
        <row r="372">
          <cell r="H372">
            <v>371</v>
          </cell>
          <cell r="I372">
            <v>6.8300000000000001E-4</v>
          </cell>
          <cell r="J372">
            <v>8.6693999999999993E-2</v>
          </cell>
          <cell r="K372">
            <v>2.8530000000000001E-3</v>
          </cell>
          <cell r="L372">
            <v>1.75E-3</v>
          </cell>
        </row>
        <row r="373">
          <cell r="H373">
            <v>372</v>
          </cell>
          <cell r="I373">
            <v>6.8300000000000001E-4</v>
          </cell>
          <cell r="J373">
            <v>8.6693999999999993E-2</v>
          </cell>
          <cell r="K373">
            <v>2.8530000000000001E-3</v>
          </cell>
          <cell r="L373">
            <v>1.75E-3</v>
          </cell>
        </row>
        <row r="374">
          <cell r="H374">
            <v>373</v>
          </cell>
          <cell r="I374">
            <v>6.8300000000000001E-4</v>
          </cell>
          <cell r="J374">
            <v>8.6693999999999993E-2</v>
          </cell>
          <cell r="K374">
            <v>2.8530000000000001E-3</v>
          </cell>
          <cell r="L374">
            <v>1.75E-3</v>
          </cell>
        </row>
        <row r="375">
          <cell r="H375">
            <v>374</v>
          </cell>
          <cell r="I375">
            <v>6.8300000000000001E-4</v>
          </cell>
          <cell r="J375">
            <v>8.6693999999999993E-2</v>
          </cell>
          <cell r="K375">
            <v>2.8530000000000001E-3</v>
          </cell>
          <cell r="L375">
            <v>1.75E-3</v>
          </cell>
        </row>
        <row r="376">
          <cell r="H376">
            <v>375</v>
          </cell>
          <cell r="I376">
            <v>6.8300000000000001E-4</v>
          </cell>
          <cell r="J376">
            <v>8.6693999999999993E-2</v>
          </cell>
          <cell r="K376">
            <v>2.8530000000000001E-3</v>
          </cell>
          <cell r="L376">
            <v>1.75E-3</v>
          </cell>
        </row>
        <row r="377">
          <cell r="H377">
            <v>376</v>
          </cell>
          <cell r="I377">
            <v>6.8300000000000001E-4</v>
          </cell>
          <cell r="J377">
            <v>8.6693999999999993E-2</v>
          </cell>
          <cell r="K377">
            <v>2.8530000000000001E-3</v>
          </cell>
          <cell r="L377">
            <v>1.75E-3</v>
          </cell>
        </row>
        <row r="378">
          <cell r="H378">
            <v>377</v>
          </cell>
          <cell r="I378">
            <v>6.8300000000000001E-4</v>
          </cell>
          <cell r="J378">
            <v>8.6693999999999993E-2</v>
          </cell>
          <cell r="K378">
            <v>2.8530000000000001E-3</v>
          </cell>
          <cell r="L378">
            <v>1.75E-3</v>
          </cell>
        </row>
        <row r="379">
          <cell r="H379">
            <v>378</v>
          </cell>
          <cell r="I379">
            <v>6.8300000000000001E-4</v>
          </cell>
          <cell r="J379">
            <v>8.6693999999999993E-2</v>
          </cell>
          <cell r="K379">
            <v>2.8530000000000001E-3</v>
          </cell>
          <cell r="L379">
            <v>1.75E-3</v>
          </cell>
        </row>
        <row r="380">
          <cell r="H380">
            <v>379</v>
          </cell>
          <cell r="I380">
            <v>6.8300000000000001E-4</v>
          </cell>
          <cell r="J380">
            <v>8.6693999999999993E-2</v>
          </cell>
          <cell r="K380">
            <v>2.8530000000000001E-3</v>
          </cell>
          <cell r="L380">
            <v>1.75E-3</v>
          </cell>
        </row>
        <row r="381">
          <cell r="H381">
            <v>380</v>
          </cell>
          <cell r="I381">
            <v>6.8300000000000001E-4</v>
          </cell>
          <cell r="J381">
            <v>8.6693999999999993E-2</v>
          </cell>
          <cell r="K381">
            <v>2.8530000000000001E-3</v>
          </cell>
          <cell r="L381">
            <v>1.75E-3</v>
          </cell>
        </row>
        <row r="382">
          <cell r="H382">
            <v>381</v>
          </cell>
          <cell r="I382">
            <v>6.8300000000000001E-4</v>
          </cell>
          <cell r="J382">
            <v>8.6693999999999993E-2</v>
          </cell>
          <cell r="K382">
            <v>2.8530000000000001E-3</v>
          </cell>
          <cell r="L382">
            <v>1.75E-3</v>
          </cell>
        </row>
        <row r="383">
          <cell r="H383">
            <v>382</v>
          </cell>
          <cell r="I383">
            <v>6.8300000000000001E-4</v>
          </cell>
          <cell r="J383">
            <v>8.6693999999999993E-2</v>
          </cell>
          <cell r="K383">
            <v>2.8530000000000001E-3</v>
          </cell>
          <cell r="L383">
            <v>1.75E-3</v>
          </cell>
        </row>
        <row r="384">
          <cell r="H384">
            <v>383</v>
          </cell>
          <cell r="I384">
            <v>6.8300000000000001E-4</v>
          </cell>
          <cell r="J384">
            <v>8.6693999999999993E-2</v>
          </cell>
          <cell r="K384">
            <v>2.8530000000000001E-3</v>
          </cell>
          <cell r="L384">
            <v>1.75E-3</v>
          </cell>
        </row>
        <row r="385">
          <cell r="H385">
            <v>384</v>
          </cell>
          <cell r="I385">
            <v>6.8300000000000001E-4</v>
          </cell>
          <cell r="J385">
            <v>8.6693999999999993E-2</v>
          </cell>
          <cell r="K385">
            <v>2.8530000000000001E-3</v>
          </cell>
          <cell r="L385">
            <v>1.75E-3</v>
          </cell>
        </row>
        <row r="386">
          <cell r="H386">
            <v>385</v>
          </cell>
          <cell r="I386">
            <v>6.8300000000000001E-4</v>
          </cell>
          <cell r="J386">
            <v>8.6693999999999993E-2</v>
          </cell>
          <cell r="K386">
            <v>2.8530000000000001E-3</v>
          </cell>
          <cell r="L386">
            <v>1.75E-3</v>
          </cell>
        </row>
        <row r="387">
          <cell r="H387">
            <v>386</v>
          </cell>
          <cell r="I387">
            <v>6.8300000000000001E-4</v>
          </cell>
          <cell r="J387">
            <v>8.6693999999999993E-2</v>
          </cell>
          <cell r="K387">
            <v>2.8530000000000001E-3</v>
          </cell>
          <cell r="L387">
            <v>1.75E-3</v>
          </cell>
        </row>
        <row r="388">
          <cell r="H388">
            <v>387</v>
          </cell>
          <cell r="I388">
            <v>6.8300000000000001E-4</v>
          </cell>
          <cell r="J388">
            <v>8.6693999999999993E-2</v>
          </cell>
          <cell r="K388">
            <v>2.8530000000000001E-3</v>
          </cell>
          <cell r="L388">
            <v>1.75E-3</v>
          </cell>
        </row>
        <row r="389">
          <cell r="H389">
            <v>388</v>
          </cell>
          <cell r="I389">
            <v>6.8300000000000001E-4</v>
          </cell>
          <cell r="J389">
            <v>8.6693999999999993E-2</v>
          </cell>
          <cell r="K389">
            <v>2.8530000000000001E-3</v>
          </cell>
          <cell r="L389">
            <v>1.75E-3</v>
          </cell>
        </row>
        <row r="390">
          <cell r="H390">
            <v>389</v>
          </cell>
          <cell r="I390">
            <v>6.8300000000000001E-4</v>
          </cell>
          <cell r="J390">
            <v>8.6693999999999993E-2</v>
          </cell>
          <cell r="K390">
            <v>2.8530000000000001E-3</v>
          </cell>
          <cell r="L390">
            <v>1.75E-3</v>
          </cell>
        </row>
        <row r="391">
          <cell r="H391">
            <v>390</v>
          </cell>
          <cell r="I391">
            <v>6.8300000000000001E-4</v>
          </cell>
          <cell r="J391">
            <v>8.6693999999999993E-2</v>
          </cell>
          <cell r="K391">
            <v>2.8530000000000001E-3</v>
          </cell>
          <cell r="L391">
            <v>1.75E-3</v>
          </cell>
        </row>
        <row r="392">
          <cell r="H392">
            <v>391</v>
          </cell>
          <cell r="I392">
            <v>6.8300000000000001E-4</v>
          </cell>
          <cell r="J392">
            <v>8.6693999999999993E-2</v>
          </cell>
          <cell r="K392">
            <v>2.8530000000000001E-3</v>
          </cell>
          <cell r="L392">
            <v>1.75E-3</v>
          </cell>
        </row>
        <row r="393">
          <cell r="H393">
            <v>392</v>
          </cell>
          <cell r="I393">
            <v>6.8300000000000001E-4</v>
          </cell>
          <cell r="J393">
            <v>8.6693999999999993E-2</v>
          </cell>
          <cell r="K393">
            <v>2.8530000000000001E-3</v>
          </cell>
          <cell r="L393">
            <v>1.75E-3</v>
          </cell>
        </row>
        <row r="394">
          <cell r="H394">
            <v>393</v>
          </cell>
          <cell r="I394">
            <v>6.8300000000000001E-4</v>
          </cell>
          <cell r="J394">
            <v>8.6693999999999993E-2</v>
          </cell>
          <cell r="K394">
            <v>2.8530000000000001E-3</v>
          </cell>
          <cell r="L394">
            <v>1.75E-3</v>
          </cell>
        </row>
        <row r="395">
          <cell r="H395">
            <v>394</v>
          </cell>
          <cell r="I395">
            <v>6.8300000000000001E-4</v>
          </cell>
          <cell r="J395">
            <v>8.6693999999999993E-2</v>
          </cell>
          <cell r="K395">
            <v>2.8530000000000001E-3</v>
          </cell>
          <cell r="L395">
            <v>1.75E-3</v>
          </cell>
        </row>
        <row r="396">
          <cell r="H396">
            <v>395</v>
          </cell>
          <cell r="I396">
            <v>6.8300000000000001E-4</v>
          </cell>
          <cell r="J396">
            <v>8.6693999999999993E-2</v>
          </cell>
          <cell r="K396">
            <v>2.8530000000000001E-3</v>
          </cell>
          <cell r="L396">
            <v>1.75E-3</v>
          </cell>
        </row>
        <row r="397">
          <cell r="H397">
            <v>396</v>
          </cell>
          <cell r="I397">
            <v>6.8300000000000001E-4</v>
          </cell>
          <cell r="J397">
            <v>8.6693999999999993E-2</v>
          </cell>
          <cell r="K397">
            <v>2.8530000000000001E-3</v>
          </cell>
          <cell r="L397">
            <v>1.75E-3</v>
          </cell>
        </row>
        <row r="398">
          <cell r="H398">
            <v>397</v>
          </cell>
          <cell r="I398">
            <v>6.8300000000000001E-4</v>
          </cell>
          <cell r="J398">
            <v>8.6693999999999993E-2</v>
          </cell>
          <cell r="K398">
            <v>2.8530000000000001E-3</v>
          </cell>
          <cell r="L398">
            <v>1.75E-3</v>
          </cell>
        </row>
        <row r="399">
          <cell r="H399">
            <v>398</v>
          </cell>
          <cell r="I399">
            <v>6.8300000000000001E-4</v>
          </cell>
          <cell r="J399">
            <v>8.6693999999999993E-2</v>
          </cell>
          <cell r="K399">
            <v>2.8530000000000001E-3</v>
          </cell>
          <cell r="L399">
            <v>1.75E-3</v>
          </cell>
        </row>
        <row r="400">
          <cell r="H400">
            <v>399</v>
          </cell>
          <cell r="I400">
            <v>6.8300000000000001E-4</v>
          </cell>
          <cell r="J400">
            <v>8.6693999999999993E-2</v>
          </cell>
          <cell r="K400">
            <v>2.8530000000000001E-3</v>
          </cell>
          <cell r="L400">
            <v>1.75E-3</v>
          </cell>
        </row>
        <row r="401">
          <cell r="H401">
            <v>400</v>
          </cell>
          <cell r="I401">
            <v>6.8300000000000001E-4</v>
          </cell>
          <cell r="J401">
            <v>8.6693999999999993E-2</v>
          </cell>
          <cell r="K401">
            <v>2.8530000000000001E-3</v>
          </cell>
          <cell r="L401">
            <v>1.75E-3</v>
          </cell>
        </row>
        <row r="402">
          <cell r="H402">
            <v>401</v>
          </cell>
          <cell r="I402">
            <v>6.8300000000000001E-4</v>
          </cell>
          <cell r="J402">
            <v>8.6693999999999993E-2</v>
          </cell>
          <cell r="K402">
            <v>2.8530000000000001E-3</v>
          </cell>
          <cell r="L402">
            <v>1.75E-3</v>
          </cell>
        </row>
        <row r="403">
          <cell r="H403">
            <v>402</v>
          </cell>
          <cell r="I403">
            <v>6.8300000000000001E-4</v>
          </cell>
          <cell r="J403">
            <v>8.6693999999999993E-2</v>
          </cell>
          <cell r="K403">
            <v>2.8530000000000001E-3</v>
          </cell>
          <cell r="L403">
            <v>1.75E-3</v>
          </cell>
        </row>
        <row r="404">
          <cell r="H404">
            <v>403</v>
          </cell>
          <cell r="I404">
            <v>6.8300000000000001E-4</v>
          </cell>
          <cell r="J404">
            <v>8.6693999999999993E-2</v>
          </cell>
          <cell r="K404">
            <v>2.8530000000000001E-3</v>
          </cell>
          <cell r="L404">
            <v>1.75E-3</v>
          </cell>
        </row>
        <row r="405">
          <cell r="H405">
            <v>404</v>
          </cell>
          <cell r="I405">
            <v>6.8300000000000001E-4</v>
          </cell>
          <cell r="J405">
            <v>8.6693999999999993E-2</v>
          </cell>
          <cell r="K405">
            <v>2.8530000000000001E-3</v>
          </cell>
          <cell r="L405">
            <v>1.75E-3</v>
          </cell>
        </row>
        <row r="406">
          <cell r="H406">
            <v>405</v>
          </cell>
          <cell r="I406">
            <v>6.8300000000000001E-4</v>
          </cell>
          <cell r="J406">
            <v>8.6693999999999993E-2</v>
          </cell>
          <cell r="K406">
            <v>2.8530000000000001E-3</v>
          </cell>
          <cell r="L406">
            <v>1.75E-3</v>
          </cell>
        </row>
        <row r="407">
          <cell r="H407">
            <v>406</v>
          </cell>
          <cell r="I407">
            <v>6.8300000000000001E-4</v>
          </cell>
          <cell r="J407">
            <v>8.6693999999999993E-2</v>
          </cell>
          <cell r="K407">
            <v>2.8530000000000001E-3</v>
          </cell>
          <cell r="L407">
            <v>1.75E-3</v>
          </cell>
        </row>
        <row r="408">
          <cell r="H408">
            <v>407</v>
          </cell>
          <cell r="I408">
            <v>6.8300000000000001E-4</v>
          </cell>
          <cell r="J408">
            <v>8.6693999999999993E-2</v>
          </cell>
          <cell r="K408">
            <v>2.8530000000000001E-3</v>
          </cell>
          <cell r="L408">
            <v>1.75E-3</v>
          </cell>
        </row>
        <row r="409">
          <cell r="H409">
            <v>408</v>
          </cell>
          <cell r="I409">
            <v>6.8300000000000001E-4</v>
          </cell>
          <cell r="J409">
            <v>8.6693999999999993E-2</v>
          </cell>
          <cell r="K409">
            <v>2.8530000000000001E-3</v>
          </cell>
          <cell r="L409">
            <v>1.75E-3</v>
          </cell>
        </row>
        <row r="410">
          <cell r="H410">
            <v>409</v>
          </cell>
          <cell r="I410">
            <v>6.8300000000000001E-4</v>
          </cell>
          <cell r="J410">
            <v>8.6693999999999993E-2</v>
          </cell>
          <cell r="K410">
            <v>2.8530000000000001E-3</v>
          </cell>
          <cell r="L410">
            <v>1.75E-3</v>
          </cell>
        </row>
        <row r="411">
          <cell r="H411">
            <v>410</v>
          </cell>
          <cell r="I411">
            <v>6.8300000000000001E-4</v>
          </cell>
          <cell r="J411">
            <v>8.6693999999999993E-2</v>
          </cell>
          <cell r="K411">
            <v>2.8530000000000001E-3</v>
          </cell>
          <cell r="L411">
            <v>1.75E-3</v>
          </cell>
        </row>
        <row r="412">
          <cell r="H412">
            <v>411</v>
          </cell>
          <cell r="I412">
            <v>6.8300000000000001E-4</v>
          </cell>
          <cell r="J412">
            <v>8.6693999999999993E-2</v>
          </cell>
          <cell r="K412">
            <v>2.8530000000000001E-3</v>
          </cell>
          <cell r="L412">
            <v>1.75E-3</v>
          </cell>
        </row>
        <row r="413">
          <cell r="H413">
            <v>412</v>
          </cell>
          <cell r="I413">
            <v>6.8300000000000001E-4</v>
          </cell>
          <cell r="J413">
            <v>8.6693999999999993E-2</v>
          </cell>
          <cell r="K413">
            <v>2.8530000000000001E-3</v>
          </cell>
          <cell r="L413">
            <v>1.75E-3</v>
          </cell>
        </row>
        <row r="414">
          <cell r="H414">
            <v>413</v>
          </cell>
          <cell r="I414">
            <v>6.8300000000000001E-4</v>
          </cell>
          <cell r="J414">
            <v>8.6693999999999993E-2</v>
          </cell>
          <cell r="K414">
            <v>2.8530000000000001E-3</v>
          </cell>
          <cell r="L414">
            <v>1.75E-3</v>
          </cell>
        </row>
        <row r="415">
          <cell r="H415">
            <v>414</v>
          </cell>
          <cell r="I415">
            <v>6.8300000000000001E-4</v>
          </cell>
          <cell r="J415">
            <v>8.6693999999999993E-2</v>
          </cell>
          <cell r="K415">
            <v>2.8530000000000001E-3</v>
          </cell>
          <cell r="L415">
            <v>1.75E-3</v>
          </cell>
        </row>
        <row r="416">
          <cell r="H416">
            <v>415</v>
          </cell>
          <cell r="I416">
            <v>6.8300000000000001E-4</v>
          </cell>
          <cell r="J416">
            <v>8.6693999999999993E-2</v>
          </cell>
          <cell r="K416">
            <v>2.8530000000000001E-3</v>
          </cell>
          <cell r="L416">
            <v>1.75E-3</v>
          </cell>
        </row>
        <row r="417">
          <cell r="H417">
            <v>416</v>
          </cell>
          <cell r="I417">
            <v>6.8300000000000001E-4</v>
          </cell>
          <cell r="J417">
            <v>8.6693999999999993E-2</v>
          </cell>
          <cell r="K417">
            <v>2.8530000000000001E-3</v>
          </cell>
          <cell r="L417">
            <v>1.75E-3</v>
          </cell>
        </row>
        <row r="418">
          <cell r="H418">
            <v>417</v>
          </cell>
          <cell r="I418">
            <v>6.8300000000000001E-4</v>
          </cell>
          <cell r="J418">
            <v>8.6693999999999993E-2</v>
          </cell>
          <cell r="K418">
            <v>2.8530000000000001E-3</v>
          </cell>
          <cell r="L418">
            <v>1.75E-3</v>
          </cell>
        </row>
        <row r="419">
          <cell r="H419">
            <v>418</v>
          </cell>
          <cell r="I419">
            <v>6.8300000000000001E-4</v>
          </cell>
          <cell r="J419">
            <v>8.6693999999999993E-2</v>
          </cell>
          <cell r="K419">
            <v>2.8530000000000001E-3</v>
          </cell>
          <cell r="L419">
            <v>1.75E-3</v>
          </cell>
        </row>
        <row r="420">
          <cell r="H420">
            <v>419</v>
          </cell>
          <cell r="I420">
            <v>6.8300000000000001E-4</v>
          </cell>
          <cell r="J420">
            <v>8.6693999999999993E-2</v>
          </cell>
          <cell r="K420">
            <v>2.8530000000000001E-3</v>
          </cell>
          <cell r="L420">
            <v>1.75E-3</v>
          </cell>
        </row>
        <row r="421">
          <cell r="H421">
            <v>420</v>
          </cell>
          <cell r="I421">
            <v>6.8300000000000001E-4</v>
          </cell>
          <cell r="J421">
            <v>8.6693999999999993E-2</v>
          </cell>
          <cell r="K421">
            <v>2.8530000000000001E-3</v>
          </cell>
          <cell r="L421">
            <v>1.75E-3</v>
          </cell>
        </row>
        <row r="422">
          <cell r="H422">
            <v>421</v>
          </cell>
          <cell r="I422">
            <v>6.8300000000000001E-4</v>
          </cell>
          <cell r="J422">
            <v>8.6693999999999993E-2</v>
          </cell>
          <cell r="K422">
            <v>2.8530000000000001E-3</v>
          </cell>
          <cell r="L422">
            <v>1.75E-3</v>
          </cell>
        </row>
        <row r="423">
          <cell r="H423">
            <v>422</v>
          </cell>
          <cell r="I423">
            <v>6.8300000000000001E-4</v>
          </cell>
          <cell r="J423">
            <v>8.6693999999999993E-2</v>
          </cell>
          <cell r="K423">
            <v>2.8530000000000001E-3</v>
          </cell>
          <cell r="L423">
            <v>1.75E-3</v>
          </cell>
        </row>
        <row r="424">
          <cell r="H424">
            <v>423</v>
          </cell>
          <cell r="I424">
            <v>6.8300000000000001E-4</v>
          </cell>
          <cell r="J424">
            <v>8.6693999999999993E-2</v>
          </cell>
          <cell r="K424">
            <v>2.8530000000000001E-3</v>
          </cell>
          <cell r="L424">
            <v>1.75E-3</v>
          </cell>
        </row>
        <row r="425">
          <cell r="H425">
            <v>424</v>
          </cell>
          <cell r="I425">
            <v>6.8300000000000001E-4</v>
          </cell>
          <cell r="J425">
            <v>8.6693999999999993E-2</v>
          </cell>
          <cell r="K425">
            <v>2.8530000000000001E-3</v>
          </cell>
          <cell r="L425">
            <v>1.75E-3</v>
          </cell>
        </row>
        <row r="426">
          <cell r="H426">
            <v>425</v>
          </cell>
          <cell r="I426">
            <v>6.8300000000000001E-4</v>
          </cell>
          <cell r="J426">
            <v>8.6693999999999993E-2</v>
          </cell>
          <cell r="K426">
            <v>2.8530000000000001E-3</v>
          </cell>
          <cell r="L426">
            <v>1.75E-3</v>
          </cell>
        </row>
        <row r="427">
          <cell r="H427">
            <v>426</v>
          </cell>
          <cell r="I427">
            <v>6.8300000000000001E-4</v>
          </cell>
          <cell r="J427">
            <v>8.6693999999999993E-2</v>
          </cell>
          <cell r="K427">
            <v>2.8530000000000001E-3</v>
          </cell>
          <cell r="L427">
            <v>1.75E-3</v>
          </cell>
        </row>
        <row r="428">
          <cell r="H428">
            <v>427</v>
          </cell>
          <cell r="I428">
            <v>6.8300000000000001E-4</v>
          </cell>
          <cell r="J428">
            <v>8.6693999999999993E-2</v>
          </cell>
          <cell r="K428">
            <v>2.8530000000000001E-3</v>
          </cell>
          <cell r="L428">
            <v>1.75E-3</v>
          </cell>
        </row>
        <row r="429">
          <cell r="H429">
            <v>428</v>
          </cell>
          <cell r="I429">
            <v>6.8300000000000001E-4</v>
          </cell>
          <cell r="J429">
            <v>8.6693999999999993E-2</v>
          </cell>
          <cell r="K429">
            <v>2.8530000000000001E-3</v>
          </cell>
          <cell r="L429">
            <v>1.75E-3</v>
          </cell>
        </row>
        <row r="430">
          <cell r="H430">
            <v>429</v>
          </cell>
          <cell r="I430">
            <v>6.8300000000000001E-4</v>
          </cell>
          <cell r="J430">
            <v>8.6693999999999993E-2</v>
          </cell>
          <cell r="K430">
            <v>2.8530000000000001E-3</v>
          </cell>
          <cell r="L430">
            <v>1.75E-3</v>
          </cell>
        </row>
        <row r="431">
          <cell r="H431">
            <v>430</v>
          </cell>
          <cell r="I431">
            <v>6.8300000000000001E-4</v>
          </cell>
          <cell r="J431">
            <v>8.6693999999999993E-2</v>
          </cell>
          <cell r="K431">
            <v>2.8530000000000001E-3</v>
          </cell>
          <cell r="L431">
            <v>1.75E-3</v>
          </cell>
        </row>
        <row r="432">
          <cell r="H432">
            <v>431</v>
          </cell>
          <cell r="I432">
            <v>6.8300000000000001E-4</v>
          </cell>
          <cell r="J432">
            <v>8.6693999999999993E-2</v>
          </cell>
          <cell r="K432">
            <v>2.8530000000000001E-3</v>
          </cell>
          <cell r="L432">
            <v>1.75E-3</v>
          </cell>
        </row>
        <row r="433">
          <cell r="H433">
            <v>432</v>
          </cell>
          <cell r="I433">
            <v>6.8300000000000001E-4</v>
          </cell>
          <cell r="J433">
            <v>8.6693999999999993E-2</v>
          </cell>
          <cell r="K433">
            <v>2.8530000000000001E-3</v>
          </cell>
          <cell r="L433">
            <v>1.75E-3</v>
          </cell>
        </row>
        <row r="434">
          <cell r="H434">
            <v>433</v>
          </cell>
          <cell r="I434">
            <v>6.8300000000000001E-4</v>
          </cell>
          <cell r="J434">
            <v>8.6693999999999993E-2</v>
          </cell>
          <cell r="K434">
            <v>2.8530000000000001E-3</v>
          </cell>
          <cell r="L434">
            <v>1.75E-3</v>
          </cell>
        </row>
        <row r="435">
          <cell r="H435">
            <v>434</v>
          </cell>
          <cell r="I435">
            <v>6.8300000000000001E-4</v>
          </cell>
          <cell r="J435">
            <v>8.6693999999999993E-2</v>
          </cell>
          <cell r="K435">
            <v>2.8530000000000001E-3</v>
          </cell>
          <cell r="L435">
            <v>1.75E-3</v>
          </cell>
        </row>
        <row r="436">
          <cell r="H436">
            <v>435</v>
          </cell>
          <cell r="I436">
            <v>6.8300000000000001E-4</v>
          </cell>
          <cell r="J436">
            <v>8.6693999999999993E-2</v>
          </cell>
          <cell r="K436">
            <v>2.8530000000000001E-3</v>
          </cell>
          <cell r="L436">
            <v>1.75E-3</v>
          </cell>
        </row>
        <row r="437">
          <cell r="H437">
            <v>436</v>
          </cell>
          <cell r="I437">
            <v>6.8300000000000001E-4</v>
          </cell>
          <cell r="J437">
            <v>8.6693999999999993E-2</v>
          </cell>
          <cell r="K437">
            <v>2.8530000000000001E-3</v>
          </cell>
          <cell r="L437">
            <v>1.75E-3</v>
          </cell>
        </row>
        <row r="438">
          <cell r="H438">
            <v>437</v>
          </cell>
          <cell r="I438">
            <v>6.8300000000000001E-4</v>
          </cell>
          <cell r="J438">
            <v>8.6693999999999993E-2</v>
          </cell>
          <cell r="K438">
            <v>2.8530000000000001E-3</v>
          </cell>
          <cell r="L438">
            <v>1.75E-3</v>
          </cell>
        </row>
        <row r="439">
          <cell r="H439">
            <v>438</v>
          </cell>
          <cell r="I439">
            <v>6.8300000000000001E-4</v>
          </cell>
          <cell r="J439">
            <v>8.6693999999999993E-2</v>
          </cell>
          <cell r="K439">
            <v>2.8530000000000001E-3</v>
          </cell>
          <cell r="L439">
            <v>1.75E-3</v>
          </cell>
        </row>
        <row r="440">
          <cell r="H440">
            <v>439</v>
          </cell>
          <cell r="I440">
            <v>6.8300000000000001E-4</v>
          </cell>
          <cell r="J440">
            <v>8.6693999999999993E-2</v>
          </cell>
          <cell r="K440">
            <v>2.8530000000000001E-3</v>
          </cell>
          <cell r="L440">
            <v>1.75E-3</v>
          </cell>
        </row>
        <row r="441">
          <cell r="H441">
            <v>440</v>
          </cell>
          <cell r="I441">
            <v>6.8300000000000001E-4</v>
          </cell>
          <cell r="J441">
            <v>8.6693999999999993E-2</v>
          </cell>
          <cell r="K441">
            <v>2.8530000000000001E-3</v>
          </cell>
          <cell r="L441">
            <v>1.75E-3</v>
          </cell>
        </row>
        <row r="442">
          <cell r="H442">
            <v>441</v>
          </cell>
          <cell r="I442">
            <v>6.8300000000000001E-4</v>
          </cell>
          <cell r="J442">
            <v>8.6693999999999993E-2</v>
          </cell>
          <cell r="K442">
            <v>2.8530000000000001E-3</v>
          </cell>
          <cell r="L442">
            <v>1.75E-3</v>
          </cell>
        </row>
        <row r="443">
          <cell r="H443">
            <v>442</v>
          </cell>
          <cell r="I443">
            <v>6.8300000000000001E-4</v>
          </cell>
          <cell r="J443">
            <v>8.6693999999999993E-2</v>
          </cell>
          <cell r="K443">
            <v>2.8530000000000001E-3</v>
          </cell>
          <cell r="L443">
            <v>1.75E-3</v>
          </cell>
        </row>
        <row r="444">
          <cell r="H444">
            <v>443</v>
          </cell>
          <cell r="I444">
            <v>6.8300000000000001E-4</v>
          </cell>
          <cell r="J444">
            <v>8.6693999999999993E-2</v>
          </cell>
          <cell r="K444">
            <v>2.8530000000000001E-3</v>
          </cell>
          <cell r="L444">
            <v>1.75E-3</v>
          </cell>
        </row>
        <row r="445">
          <cell r="H445">
            <v>444</v>
          </cell>
          <cell r="I445">
            <v>6.8300000000000001E-4</v>
          </cell>
          <cell r="J445">
            <v>8.6693999999999993E-2</v>
          </cell>
          <cell r="K445">
            <v>2.8530000000000001E-3</v>
          </cell>
          <cell r="L445">
            <v>1.75E-3</v>
          </cell>
        </row>
        <row r="446">
          <cell r="H446">
            <v>445</v>
          </cell>
          <cell r="I446">
            <v>6.8300000000000001E-4</v>
          </cell>
          <cell r="J446">
            <v>8.6693999999999993E-2</v>
          </cell>
          <cell r="K446">
            <v>2.8530000000000001E-3</v>
          </cell>
          <cell r="L446">
            <v>1.75E-3</v>
          </cell>
        </row>
        <row r="447">
          <cell r="H447">
            <v>446</v>
          </cell>
          <cell r="I447">
            <v>6.8300000000000001E-4</v>
          </cell>
          <cell r="J447">
            <v>8.6693999999999993E-2</v>
          </cell>
          <cell r="K447">
            <v>2.8530000000000001E-3</v>
          </cell>
          <cell r="L447">
            <v>1.75E-3</v>
          </cell>
        </row>
        <row r="448">
          <cell r="H448">
            <v>447</v>
          </cell>
          <cell r="I448">
            <v>6.8300000000000001E-4</v>
          </cell>
          <cell r="J448">
            <v>8.6693999999999993E-2</v>
          </cell>
          <cell r="K448">
            <v>2.8530000000000001E-3</v>
          </cell>
          <cell r="L448">
            <v>1.75E-3</v>
          </cell>
        </row>
        <row r="449">
          <cell r="H449">
            <v>448</v>
          </cell>
          <cell r="I449">
            <v>6.8300000000000001E-4</v>
          </cell>
          <cell r="J449">
            <v>8.6693999999999993E-2</v>
          </cell>
          <cell r="K449">
            <v>2.8530000000000001E-3</v>
          </cell>
          <cell r="L449">
            <v>1.75E-3</v>
          </cell>
        </row>
        <row r="450">
          <cell r="H450">
            <v>449</v>
          </cell>
          <cell r="I450">
            <v>6.8300000000000001E-4</v>
          </cell>
          <cell r="J450">
            <v>8.6693999999999993E-2</v>
          </cell>
          <cell r="K450">
            <v>2.8530000000000001E-3</v>
          </cell>
          <cell r="L450">
            <v>1.75E-3</v>
          </cell>
        </row>
        <row r="451">
          <cell r="H451">
            <v>450</v>
          </cell>
          <cell r="I451">
            <v>6.8300000000000001E-4</v>
          </cell>
          <cell r="J451">
            <v>8.6693999999999993E-2</v>
          </cell>
          <cell r="K451">
            <v>2.8530000000000001E-3</v>
          </cell>
          <cell r="L451">
            <v>1.75E-3</v>
          </cell>
        </row>
      </sheetData>
      <sheetData sheetId="3"/>
      <sheetData sheetId="4">
        <row r="3">
          <cell r="J3">
            <v>1.0138888888888888</v>
          </cell>
        </row>
        <row r="4">
          <cell r="M4">
            <v>51561.573620811105</v>
          </cell>
        </row>
        <row r="5">
          <cell r="C5">
            <v>7.0499999999999993E-2</v>
          </cell>
        </row>
        <row r="8">
          <cell r="J8">
            <v>7.4312000000000003E-2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BDA6D5-F110-4174-8A40-F060A61CD355}" name="Table157" displayName="Table157" ref="B16:T385" totalsRowShown="0" headerRowDxfId="21" dataDxfId="20" headerRowBorderDxfId="19" headerRowCellStyle="Normal" dataCellStyle="Normal">
  <autoFilter ref="B16:T385" xr:uid="{00000000-0009-0000-0100-000001000000}"/>
  <tableColumns count="19">
    <tableColumn id="1" xr3:uid="{A86E081A-3C54-4D0A-8DA3-AE599FB46A1F}" name="Date" dataDxfId="18" dataCellStyle="Normal">
      <calculatedColumnFormula>EOMONTH(B16,1)</calculatedColumnFormula>
    </tableColumn>
    <tableColumn id="2" xr3:uid="{26E84166-5CA2-4B69-A276-D3927330FBA5}" name="Period" dataDxfId="17" dataCellStyle="Normal">
      <calculatedColumnFormula>C16+1</calculatedColumnFormula>
    </tableColumn>
    <tableColumn id="3" xr3:uid="{89B7721C-5B9E-459E-9FE3-75C630A09EE3}" name="Beginning Balance" dataDxfId="16" dataCellStyle="Comma">
      <calculatedColumnFormula>O16</calculatedColumnFormula>
    </tableColumn>
    <tableColumn id="4" xr3:uid="{03A36C7C-EC31-44A3-BEF2-2AC2BA529B00}" name="Interest" dataDxfId="15" dataCellStyle="Comma">
      <calculatedColumnFormula>ROUND(Table157[[#This Row],[Beginning Balance]]*Table157[[#This Row],[Monthly Interest Rate]],2)</calculatedColumnFormula>
    </tableColumn>
    <tableColumn id="18" xr3:uid="{034D03CE-73BA-4C84-9B9C-7B7971CD977C}" name="Am Thru" dataDxfId="14" dataCellStyle="Comma">
      <calculatedColumnFormula>IF(D17=0,0,ROUND(NPER(Table157[[#This Row],[Monthly Interest Rate]],G16,-D16)-1,0))</calculatedColumnFormula>
    </tableColumn>
    <tableColumn id="20" xr3:uid="{04351CF0-74D4-4333-B873-FBB9763074E5}" name="Payment Amount (Reamortized)" dataDxfId="13" dataCellStyle="Comma">
      <calculatedColumnFormula>IFERROR(IF($C$13="No","N/A",IF(Table157[[#This Row],[Period]]=1,$C$6,PMT(InterestRate*AmortizationMultiplier/12,Table157[[#This Row],[Am Thru]],-Table157[[#This Row],[Beginning Balance]]))),0)</calculatedColumnFormula>
    </tableColumn>
    <tableColumn id="5" xr3:uid="{F4711882-D857-4207-B98B-92484BD62539}" name="Principal" dataDxfId="12" dataCellStyle="Comma">
      <calculatedColumnFormula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calculatedColumnFormula>
    </tableColumn>
    <tableColumn id="6" xr3:uid="{F1E9E226-5BE5-4BA8-B639-EDCE30BDE9D0}" name="Prepayments" dataDxfId="11" dataCellStyle="Comma">
      <calculatedColumnFormula>ROUND(MAX(MIN(IF(C10="No",$E$7,VLOOKUP(Table157[[#This Row],[Period]],[1]Forecast!G2:L1048576,5,FALSE))*Table157[[#This Row],[Beginning Balance]],Table157[[#This Row],[Beginning Balance]]-Table157[[#This Row],[Principal]]),0),2)</calculatedColumnFormula>
    </tableColumn>
    <tableColumn id="7" xr3:uid="{AB22F0A3-423F-481E-BF0D-BDFD5E945A3E}" name="Defaulted Principal" dataDxfId="10" dataCellStyle="Comma">
      <calculatedColumnFormula>ROUND(MIN(Table157[[#This Row],[Beginning Balance]]*IF($C$8="No",$E$3,VLOOKUP(Table157[[#This Row],[Period]],[1]Forecast!$H$2:$L$1048576,2,FALSE)),Table157[[#This Row],[Beginning Balance]]-Table157[[#This Row],[Principal]]-Table157[[#This Row],[Prepayments]]),2)</calculatedColumnFormula>
    </tableColumn>
    <tableColumn id="8" xr3:uid="{ED0D3C3E-7C82-4954-A9C2-88B73713CB91}" name="Estimated Loss" dataDxfId="9" dataCellStyle="Comma">
      <calculatedColumnFormula>ROUND(Table157[[#This Row],[Defaulted Principal]]*IF($C$9="No",$E$4,VLOOKUP(Table157[[#This Row],[Period]],[1]Forecast!$H$2:$L$1048576,3,FALSE)),2)</calculatedColumnFormula>
    </tableColumn>
    <tableColumn id="9" xr3:uid="{0E4626ED-D891-4782-857A-96898178AB40}" name="Estimated Recovery Period" dataDxfId="8" dataCellStyle="Normal">
      <calculatedColumnFormula>Table157[[#This Row],[Period]]+$E$9</calculatedColumnFormula>
    </tableColumn>
    <tableColumn id="10" xr3:uid="{2F32C088-8077-4D33-9548-F32B078BE639}" name="Available to Recover" dataDxfId="7" dataCellStyle="Comma">
      <calculatedColumnFormula>Table157[[#This Row],[Defaulted Principal]]-Table157[[#This Row],[Estimated Loss]]</calculatedColumnFormula>
    </tableColumn>
    <tableColumn id="11" xr3:uid="{63530521-AF33-4432-9517-753B26C21F6F}" name="RecoveredAmount" dataDxfId="6" dataCellStyle="Comma">
      <calculatedColumnFormula>IFERROR(VLOOKUP(Table157[[#This Row],[Period]],$L$16:$M$385,2,FALSE),0)</calculatedColumnFormula>
    </tableColumn>
    <tableColumn id="12" xr3:uid="{2A0BD117-5A6F-443F-AC99-BC9DF31E19C8}" name="End of month Balance" dataDxfId="5" dataCellStyle="Comma">
      <calculatedColumnFormula>Table157[[#This Row],[Beginning Balance]]-Table157[[#This Row],[Principal]]-Table157[[#This Row],[Prepayments]]-Table157[[#This Row],[Defaulted Principal]]</calculatedColumnFormula>
    </tableColumn>
    <tableColumn id="13" xr3:uid="{35F870ED-4542-491C-9619-94F2B775368A}" name="Cash Flow" dataDxfId="4" dataCellStyle="Comma">
      <calculatedColumnFormula>Table157[[#This Row],[Principal]]+Table157[[#This Row],[Interest]]+Table157[[#This Row],[Prepayments]]+Table157[[#This Row],[RecoveredAmount]]</calculatedColumnFormula>
    </tableColumn>
    <tableColumn id="14" xr3:uid="{1773692B-5B55-4D63-9629-F44AE38462F0}" name="Present Value" dataDxfId="3" dataCellStyle="Comma">
      <calculatedColumnFormula>ROUND(Table157[[#This Row],[Cash Flow]]/((1+ActualRateToUse)^(IF(ISNUMBER(SEARCH("Actual",$C$7)),Table157[[#This Row],[Running Total]]/365,Table157[[#This Row],[Period]]/12))),2)</calculatedColumnFormula>
    </tableColumn>
    <tableColumn id="15" xr3:uid="{8E379862-F905-4244-917D-E9463865EC5C}" name="Days in month" dataDxfId="2" dataCellStyle="Normal">
      <calculatedColumnFormula>IF(MONTH(Table157[[#This Row],[Date]])=2,28,DAY(DATE(YEAR(Table157[[#This Row],[Date]]),MONTH(Table157[[#This Row],[Date]])+1,1)-1))</calculatedColumnFormula>
    </tableColumn>
    <tableColumn id="16" xr3:uid="{DC08CD8E-9228-4623-AD23-6CF4078E4156}" name="Running Total" dataDxfId="1" dataCellStyle="Normal">
      <calculatedColumnFormula>SUM(OFFSET(Table157[[#Headers],[Days in month]],1,0):Table157[[#This Row],[Days in month]])</calculatedColumnFormula>
    </tableColumn>
    <tableColumn id="17" xr3:uid="{62FE8DE1-4B8D-49BB-AF86-304153BCE1EA}" name="Monthly Interest Rate" dataDxfId="0" dataCellStyle="Percent">
      <calculatedColumnFormula>InterestRate*AmortizationMultiplier*IF(ISNUMBER(SEARCH("Actual",$C$7)),Table157[[#This Row],[Days in month]]/365,1/12)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26611-A3BA-450C-AC4E-BF042B9E050A}">
  <sheetPr codeName="Sheet6">
    <pageSetUpPr autoPageBreaks="0" fitToPage="1"/>
  </sheetPr>
  <dimension ref="B2:T385"/>
  <sheetViews>
    <sheetView tabSelected="1" workbookViewId="0">
      <selection activeCell="C8" sqref="C8"/>
    </sheetView>
  </sheetViews>
  <sheetFormatPr defaultColWidth="9.109375" defaultRowHeight="10.199999999999999" x14ac:dyDescent="0.2"/>
  <cols>
    <col min="1" max="1" width="2.6640625" style="4" customWidth="1"/>
    <col min="2" max="2" width="17.88671875" style="4" bestFit="1" customWidth="1"/>
    <col min="3" max="3" width="15.6640625" style="4" bestFit="1" customWidth="1"/>
    <col min="4" max="4" width="14" style="4" customWidth="1"/>
    <col min="5" max="5" width="20.44140625" style="4" customWidth="1"/>
    <col min="6" max="6" width="9.5546875" style="4" customWidth="1"/>
    <col min="7" max="7" width="25.5546875" style="18" customWidth="1"/>
    <col min="8" max="8" width="18.33203125" style="4" bestFit="1" customWidth="1"/>
    <col min="9" max="9" width="19.88671875" style="4" customWidth="1"/>
    <col min="10" max="10" width="14.44140625" style="4" customWidth="1"/>
    <col min="11" max="11" width="13.33203125" style="4" bestFit="1" customWidth="1"/>
    <col min="12" max="12" width="19.33203125" style="4" customWidth="1"/>
    <col min="13" max="13" width="15.44140625" style="4" customWidth="1"/>
    <col min="14" max="14" width="12.5546875" style="4" customWidth="1"/>
    <col min="15" max="15" width="16.109375" style="4" customWidth="1"/>
    <col min="16" max="16" width="11.88671875" style="4" bestFit="1" customWidth="1"/>
    <col min="17" max="17" width="12.6640625" style="4" bestFit="1" customWidth="1"/>
    <col min="18" max="18" width="12.5546875" style="4" bestFit="1" customWidth="1"/>
    <col min="19" max="19" width="12.33203125" style="4" bestFit="1" customWidth="1"/>
    <col min="20" max="20" width="18" style="4" bestFit="1" customWidth="1"/>
    <col min="21" max="16384" width="9.109375" style="4"/>
  </cols>
  <sheetData>
    <row r="2" spans="2:20" ht="12" x14ac:dyDescent="0.25">
      <c r="B2" s="1" t="s">
        <v>0</v>
      </c>
      <c r="C2" s="2">
        <v>7412919.25</v>
      </c>
      <c r="D2" s="1" t="s">
        <v>1</v>
      </c>
      <c r="E2" s="3"/>
      <c r="F2" s="3"/>
      <c r="G2" s="3"/>
      <c r="I2" s="5" t="s">
        <v>2</v>
      </c>
      <c r="J2" s="5"/>
      <c r="L2" s="1" t="s">
        <v>3</v>
      </c>
      <c r="M2" s="6">
        <f ca="1">SUM(Table157[Present Value])</f>
        <v>7373329.5399999991</v>
      </c>
    </row>
    <row r="3" spans="2:20" ht="12" x14ac:dyDescent="0.25">
      <c r="B3" s="1" t="s">
        <v>4</v>
      </c>
      <c r="C3" s="7" t="s">
        <v>5</v>
      </c>
      <c r="D3" s="1" t="s">
        <v>6</v>
      </c>
      <c r="E3" s="8"/>
      <c r="F3" s="8"/>
      <c r="G3" s="8"/>
      <c r="H3" s="9"/>
      <c r="I3" s="10" t="s">
        <v>7</v>
      </c>
      <c r="J3" s="11">
        <f>(IF(ISNUMBER(SEARCH("360",C7)),365/360,1))</f>
        <v>1.0138888888888888</v>
      </c>
      <c r="K3" s="10"/>
      <c r="L3" s="1" t="s">
        <v>8</v>
      </c>
      <c r="M3" s="12">
        <v>-11822.35</v>
      </c>
    </row>
    <row r="4" spans="2:20" ht="12" x14ac:dyDescent="0.25">
      <c r="B4" s="1" t="s">
        <v>9</v>
      </c>
      <c r="C4" s="13">
        <f>E10-E9+1</f>
        <v>75</v>
      </c>
      <c r="D4" s="1" t="s">
        <v>10</v>
      </c>
      <c r="E4" s="14"/>
      <c r="F4" s="14"/>
      <c r="G4" s="14"/>
      <c r="H4" s="10"/>
      <c r="I4" s="10" t="s">
        <v>11</v>
      </c>
      <c r="J4" s="15">
        <f>(1+C5*AmortizationMultiplier/12)^(12)-1</f>
        <v>3.5545441581335879E-2</v>
      </c>
      <c r="K4" s="10"/>
      <c r="L4" s="1" t="s">
        <v>12</v>
      </c>
      <c r="M4" s="6">
        <f ca="1">C2+M3-M2</f>
        <v>27767.360000001267</v>
      </c>
    </row>
    <row r="5" spans="2:20" ht="12" x14ac:dyDescent="0.25">
      <c r="B5" s="1" t="s">
        <v>13</v>
      </c>
      <c r="C5" s="16">
        <v>3.4500000000000003E-2</v>
      </c>
      <c r="D5" s="17"/>
      <c r="H5" s="1" t="s">
        <v>14</v>
      </c>
      <c r="I5" s="10" t="s">
        <v>15</v>
      </c>
      <c r="J5" s="15">
        <v>0</v>
      </c>
      <c r="K5" s="19"/>
      <c r="L5" s="1" t="s">
        <v>16</v>
      </c>
      <c r="M5" s="15">
        <f ca="1">M4/C2</f>
        <v>3.7458063501772621E-3</v>
      </c>
    </row>
    <row r="6" spans="2:20" ht="12" x14ac:dyDescent="0.25">
      <c r="B6" s="1" t="s">
        <v>17</v>
      </c>
      <c r="C6" s="12">
        <v>41265.5</v>
      </c>
      <c r="D6" s="1" t="s">
        <v>18</v>
      </c>
      <c r="E6" s="20">
        <v>3.3700000000000001E-2</v>
      </c>
      <c r="F6" s="21"/>
      <c r="G6" s="21"/>
      <c r="H6" s="1" t="s">
        <v>14</v>
      </c>
      <c r="I6" s="10" t="s">
        <v>19</v>
      </c>
      <c r="J6" s="20">
        <v>3.5904999999999999E-2</v>
      </c>
      <c r="K6" s="15">
        <f>(1+J6/12)^(12)-1</f>
        <v>3.6501802099483838E-2</v>
      </c>
      <c r="L6" s="10"/>
      <c r="M6" s="10"/>
    </row>
    <row r="7" spans="2:20" ht="12" x14ac:dyDescent="0.25">
      <c r="B7" s="1" t="s">
        <v>20</v>
      </c>
      <c r="C7" s="13" t="s">
        <v>21</v>
      </c>
      <c r="D7" s="1" t="s">
        <v>22</v>
      </c>
      <c r="E7" s="8">
        <f>ROUND(1-(1-E6)^(1/12),6)</f>
        <v>2.8530000000000001E-3</v>
      </c>
      <c r="F7" s="8"/>
      <c r="G7" s="8"/>
      <c r="H7" s="10"/>
      <c r="I7" s="10" t="s">
        <v>23</v>
      </c>
      <c r="J7" s="15">
        <f>$J$5</f>
        <v>0</v>
      </c>
      <c r="K7" s="10"/>
      <c r="L7" s="1" t="s">
        <v>24</v>
      </c>
      <c r="M7" s="22">
        <v>27775.96</v>
      </c>
      <c r="O7" s="23"/>
    </row>
    <row r="8" spans="2:20" ht="12" x14ac:dyDescent="0.25">
      <c r="B8" s="1" t="s">
        <v>25</v>
      </c>
      <c r="C8" s="13" t="s">
        <v>26</v>
      </c>
      <c r="D8" s="1" t="s">
        <v>27</v>
      </c>
      <c r="E8" s="16">
        <v>2.0799999999999999E-2</v>
      </c>
      <c r="F8" s="3"/>
      <c r="G8" s="24"/>
      <c r="H8" s="1" t="s">
        <v>28</v>
      </c>
      <c r="I8" s="7" t="s">
        <v>29</v>
      </c>
      <c r="J8" s="20">
        <f>J6</f>
        <v>3.5904999999999999E-2</v>
      </c>
      <c r="K8" s="10"/>
      <c r="L8" s="1" t="s">
        <v>30</v>
      </c>
      <c r="M8" s="25">
        <f ca="1">M4-M7</f>
        <v>-8.5999999987325282</v>
      </c>
      <c r="O8" s="23"/>
    </row>
    <row r="9" spans="2:20" ht="12" x14ac:dyDescent="0.25">
      <c r="B9" s="1" t="s">
        <v>31</v>
      </c>
      <c r="C9" s="13" t="s">
        <v>26</v>
      </c>
      <c r="D9" s="1" t="s">
        <v>32</v>
      </c>
      <c r="E9" s="26">
        <v>12</v>
      </c>
      <c r="F9" s="10"/>
      <c r="G9" s="10"/>
      <c r="L9" s="1" t="s">
        <v>33</v>
      </c>
      <c r="M9" s="27">
        <f ca="1">M8/M4</f>
        <v>-3.0971615590146619E-4</v>
      </c>
      <c r="O9" s="23"/>
    </row>
    <row r="10" spans="2:20" ht="12" x14ac:dyDescent="0.25">
      <c r="B10" s="1" t="s">
        <v>34</v>
      </c>
      <c r="C10" s="13" t="s">
        <v>35</v>
      </c>
      <c r="D10" s="1" t="s">
        <v>36</v>
      </c>
      <c r="E10" s="28">
        <v>86</v>
      </c>
      <c r="G10" s="29"/>
      <c r="J10" s="30"/>
      <c r="K10" s="31"/>
      <c r="L10" s="10"/>
      <c r="M10" s="10"/>
      <c r="O10" s="23"/>
      <c r="Q10" s="32"/>
    </row>
    <row r="11" spans="2:20" ht="13.8" x14ac:dyDescent="0.3">
      <c r="B11" s="1" t="s">
        <v>37</v>
      </c>
      <c r="C11" s="13" t="s">
        <v>35</v>
      </c>
      <c r="D11" s="1" t="s">
        <v>38</v>
      </c>
      <c r="E11" s="33">
        <v>772102217</v>
      </c>
      <c r="F11" s="18"/>
      <c r="G11" s="29"/>
      <c r="L11" s="10"/>
      <c r="M11" s="10"/>
    </row>
    <row r="12" spans="2:20" ht="12" x14ac:dyDescent="0.25">
      <c r="B12" s="1" t="s">
        <v>39</v>
      </c>
      <c r="C12" s="34">
        <v>45838</v>
      </c>
      <c r="D12" s="1" t="s">
        <v>40</v>
      </c>
      <c r="E12" s="18" t="s">
        <v>41</v>
      </c>
      <c r="F12" s="29"/>
      <c r="G12" s="35"/>
      <c r="I12" s="36"/>
    </row>
    <row r="13" spans="2:20" ht="12" x14ac:dyDescent="0.25">
      <c r="B13" s="18" t="s">
        <v>42</v>
      </c>
      <c r="C13" s="7" t="s">
        <v>26</v>
      </c>
      <c r="D13" s="1"/>
      <c r="F13" s="29"/>
      <c r="G13" s="35"/>
      <c r="I13" s="36" t="s">
        <v>43</v>
      </c>
      <c r="S13" s="37"/>
    </row>
    <row r="14" spans="2:20" x14ac:dyDescent="0.2">
      <c r="B14" s="18" t="s">
        <v>44</v>
      </c>
      <c r="C14" s="38">
        <f>IFERROR(ROUNDUP(NPER(InterestRate/12*AmortizationMultiplier,C6,-C2),0),12*50*2)</f>
        <v>255</v>
      </c>
      <c r="F14" s="18"/>
      <c r="G14" s="39"/>
      <c r="S14" s="40"/>
    </row>
    <row r="15" spans="2:20" x14ac:dyDescent="0.2">
      <c r="B15" s="18"/>
    </row>
    <row r="16" spans="2:20" x14ac:dyDescent="0.2">
      <c r="B16" s="4" t="s">
        <v>45</v>
      </c>
      <c r="C16" s="4" t="s">
        <v>46</v>
      </c>
      <c r="D16" s="4" t="s">
        <v>47</v>
      </c>
      <c r="E16" s="4" t="s">
        <v>48</v>
      </c>
      <c r="F16" s="4" t="s">
        <v>49</v>
      </c>
      <c r="G16" s="18" t="s">
        <v>50</v>
      </c>
      <c r="H16" s="4" t="s">
        <v>51</v>
      </c>
      <c r="I16" s="4" t="s">
        <v>52</v>
      </c>
      <c r="J16" s="4" t="s">
        <v>53</v>
      </c>
      <c r="K16" s="4" t="s">
        <v>54</v>
      </c>
      <c r="L16" s="4" t="s">
        <v>55</v>
      </c>
      <c r="M16" s="4" t="s">
        <v>56</v>
      </c>
      <c r="N16" s="4" t="s">
        <v>57</v>
      </c>
      <c r="O16" s="4" t="s">
        <v>58</v>
      </c>
      <c r="P16" s="4" t="s">
        <v>59</v>
      </c>
      <c r="Q16" s="4" t="s">
        <v>60</v>
      </c>
      <c r="R16" s="4" t="s">
        <v>61</v>
      </c>
      <c r="S16" s="4" t="s">
        <v>62</v>
      </c>
      <c r="T16" s="4" t="s">
        <v>63</v>
      </c>
    </row>
    <row r="17" spans="2:20" x14ac:dyDescent="0.2">
      <c r="B17" s="41">
        <v>45869</v>
      </c>
      <c r="C17" s="4">
        <v>1</v>
      </c>
      <c r="D17" s="32">
        <f>C2</f>
        <v>7412919.25</v>
      </c>
      <c r="E17" s="42">
        <f>ROUND(Table157[[#This Row],[Beginning Balance]]*Table157[[#This Row],[Monthly Interest Rate]],2)</f>
        <v>22022.55</v>
      </c>
      <c r="F17" s="43">
        <f>+C14</f>
        <v>255</v>
      </c>
      <c r="G17" s="43">
        <f>IFERROR(IF($C$13="No","N/A",IF(Table157[[#This Row],[Period]]=1,$C$6,PMT(InterestRate*AmortizationMultiplier/12,Table157[[#This Row],[Am Thru]],-Table157[[#This Row],[Beginning Balance]]))),0)</f>
        <v>41265.5</v>
      </c>
      <c r="H17" s="42">
        <f>MAX(0,IF(C17=$C$4,D17,ROUND(IF($C$3="Fixed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19242.95</v>
      </c>
      <c r="I17" s="43">
        <f>IF($C$3="Interest Only",0,ROUND(MAX(MIN(IF($C$10="No",$E$7,VLOOKUP(Table157[[#This Row],[Period]],[1]Forecast!$H$2:$L$1048576,4,FALSE))*Table157[[#This Row],[Beginning Balance]],Table157[[#This Row],[Beginning Balance]]-Table157[[#This Row],[Principal]]),0),2))</f>
        <v>21149.06</v>
      </c>
      <c r="J17" s="43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3372.88</v>
      </c>
      <c r="K17" s="43">
        <f>ROUND(Table157[[#This Row],[Defaulted Principal]]*IF($C$9="No",$E$4,VLOOKUP(Table157[[#This Row],[Period]],[1]Forecast!$H$2:$L$1048576,3,FALSE)),2)</f>
        <v>263.14</v>
      </c>
      <c r="L17" s="4">
        <f>Table157[[#This Row],[Period]]+$E$9</f>
        <v>13</v>
      </c>
      <c r="M17" s="43">
        <f>Table157[[#This Row],[Defaulted Principal]]-Table157[[#This Row],[Estimated Loss]]</f>
        <v>3109.7400000000002</v>
      </c>
      <c r="N17" s="32">
        <f>IFERROR(VLOOKUP(Table157[[#This Row],[Period]],$L$16:$M$28,2,FALSE),0)</f>
        <v>0</v>
      </c>
      <c r="O17" s="32">
        <f>Table157[[#This Row],[Beginning Balance]]-Table157[[#This Row],[Principal]]-Table157[[#This Row],[Prepayments]]-Table157[[#This Row],[Defaulted Principal]]</f>
        <v>7369154.3600000003</v>
      </c>
      <c r="P17" s="32">
        <f>Table157[[#This Row],[Principal]]+Table157[[#This Row],[Interest]]+Table157[[#This Row],[Prepayments]]+Table157[[#This Row],[RecoveredAmount]]</f>
        <v>62414.559999999998</v>
      </c>
      <c r="Q17" s="32">
        <f ca="1">ROUND(Table157[[#This Row],[Cash Flow]]/((1+ActualRateToUse)^(IF(ISNUMBER(SEARCH("Actual",$C$7)),Table157[[#This Row],[Running Total]]/365,Table157[[#This Row],[Period]]/12))),2)</f>
        <v>62227.85</v>
      </c>
      <c r="R17" s="4">
        <f>IF(MONTH(Table157[[#This Row],[Date]])=2,28,DAY(DATE(YEAR(Table157[[#This Row],[Date]]),MONTH(Table157[[#This Row],[Date]])+1,1)-1))</f>
        <v>31</v>
      </c>
      <c r="S17" s="4">
        <f ca="1">SUM(OFFSET(Table157[[#Headers],[Days in month]],1,0):Table157[[#This Row],[Days in month]])</f>
        <v>31</v>
      </c>
      <c r="T17" s="30">
        <f>InterestRate*AmortizationMultiplier*IF(ISNUMBER(SEARCH("Actual",$C$7)),Table157[[#This Row],[Days in month]]/365,1/12)</f>
        <v>2.9708333333333331E-3</v>
      </c>
    </row>
    <row r="18" spans="2:20" x14ac:dyDescent="0.2">
      <c r="B18" s="41">
        <v>45900</v>
      </c>
      <c r="C18" s="4">
        <f>C17+1</f>
        <v>2</v>
      </c>
      <c r="D18" s="32">
        <f t="shared" ref="D18:D81" si="0">O17</f>
        <v>7369154.3600000003</v>
      </c>
      <c r="E18" s="43">
        <f>ROUND(Table157[[#This Row],[Beginning Balance]]*Table157[[#This Row],[Monthly Interest Rate]],2)</f>
        <v>21892.53</v>
      </c>
      <c r="F18" s="43">
        <f>+F17-1</f>
        <v>254</v>
      </c>
      <c r="G18" s="43">
        <f>IFERROR(IF($C$13="No","N/A",IF(Table157[[#This Row],[Period]]=1,$C$6,PMT(InterestRate*AmortizationMultiplier/12,Table157[[#This Row],[Am Thru]],-Table157[[#This Row],[Beginning Balance]]))),0)</f>
        <v>41106.478032202991</v>
      </c>
      <c r="H18" s="43">
        <f>MAX(0,IF(C18=$C$4,D18,ROUND(IF($C$3="Fixed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19213.95</v>
      </c>
      <c r="I18" s="43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21024.2</v>
      </c>
      <c r="J18" s="43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3352.97</v>
      </c>
      <c r="K18" s="43">
        <f>ROUND(Table157[[#This Row],[Defaulted Principal]]*IF($C$9="No",$E$4,VLOOKUP(Table157[[#This Row],[Period]],[1]Forecast!$H$2:$L$1048576,3,FALSE)),2)</f>
        <v>261.58</v>
      </c>
      <c r="L18" s="4">
        <f>Table157[[#This Row],[Period]]+$E$9</f>
        <v>14</v>
      </c>
      <c r="M18" s="43">
        <f>Table157[[#This Row],[Defaulted Principal]]-Table157[[#This Row],[Estimated Loss]]</f>
        <v>3091.39</v>
      </c>
      <c r="N18" s="32">
        <f>IFERROR(VLOOKUP(Table157[[#This Row],[Period]],$L$16:$M$385,2,FALSE),0)</f>
        <v>0</v>
      </c>
      <c r="O18" s="43">
        <f>Table157[[#This Row],[Beginning Balance]]-Table157[[#This Row],[Principal]]-Table157[[#This Row],[Prepayments]]-Table157[[#This Row],[Defaulted Principal]]</f>
        <v>7325563.2400000002</v>
      </c>
      <c r="P18" s="32">
        <f>Table157[[#This Row],[Principal]]+Table157[[#This Row],[Interest]]+Table157[[#This Row],[Prepayments]]+Table157[[#This Row],[RecoveredAmount]]</f>
        <v>62130.679999999993</v>
      </c>
      <c r="Q18" s="32">
        <f ca="1">ROUND(Table157[[#This Row],[Cash Flow]]/((1+ActualRateToUse)^(IF(ISNUMBER(SEARCH("Actual",$C$7)),Table157[[#This Row],[Running Total]]/365,Table157[[#This Row],[Period]]/12))),2)</f>
        <v>61759.51</v>
      </c>
      <c r="R18" s="4">
        <f>IF(MONTH(Table157[[#This Row],[Date]])=2,28,DAY(DATE(YEAR(Table157[[#This Row],[Date]]),MONTH(Table157[[#This Row],[Date]])+1,1)-1))</f>
        <v>31</v>
      </c>
      <c r="S18" s="4">
        <f ca="1">SUM(OFFSET(Table157[[#Headers],[Days in month]],1,0):Table157[[#This Row],[Days in month]])</f>
        <v>62</v>
      </c>
      <c r="T18" s="30">
        <f>InterestRate*AmortizationMultiplier*IF(ISNUMBER(SEARCH("Actual",$C$7)),Table157[[#This Row],[Days in month]]/365,1/12)</f>
        <v>2.9708333333333331E-3</v>
      </c>
    </row>
    <row r="19" spans="2:20" x14ac:dyDescent="0.2">
      <c r="B19" s="41">
        <v>45930</v>
      </c>
      <c r="C19" s="4">
        <f t="shared" ref="C19:C82" si="1">C18+1</f>
        <v>3</v>
      </c>
      <c r="D19" s="32">
        <f t="shared" si="0"/>
        <v>7325563.2400000002</v>
      </c>
      <c r="E19" s="43">
        <f>ROUND(Table157[[#This Row],[Beginning Balance]]*Table157[[#This Row],[Monthly Interest Rate]],2)</f>
        <v>21060.99</v>
      </c>
      <c r="F19" s="43">
        <f t="shared" ref="F19:F82" si="2">+F18-1</f>
        <v>253</v>
      </c>
      <c r="G19" s="44">
        <f>IFERROR(IF($C$13="No","N/A",IF(Table157[[#This Row],[Period]]=1,$C$6,PMT(InterestRate*AmortizationMultiplier/12,Table157[[#This Row],[Am Thru]],-Table157[[#This Row],[Beginning Balance]]))),0)</f>
        <v>40972.438740110134</v>
      </c>
      <c r="H19" s="43">
        <f>MAX(0,IF(C19=$C$4,D19,ROUND(IF($C$3="Fixed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19911.45</v>
      </c>
      <c r="I19" s="43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20899.830000000002</v>
      </c>
      <c r="J19" s="43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3333.13</v>
      </c>
      <c r="K19" s="43">
        <f>ROUND(Table157[[#This Row],[Defaulted Principal]]*IF($C$9="No",$E$4,VLOOKUP(Table157[[#This Row],[Period]],[1]Forecast!$H$2:$L$1048576,3,FALSE)),2)</f>
        <v>260.02999999999997</v>
      </c>
      <c r="L19" s="4">
        <f>Table157[[#This Row],[Period]]+$E$9</f>
        <v>15</v>
      </c>
      <c r="M19" s="43">
        <f>Table157[[#This Row],[Defaulted Principal]]-Table157[[#This Row],[Estimated Loss]]</f>
        <v>3073.1000000000004</v>
      </c>
      <c r="N19" s="32">
        <f>IFERROR(VLOOKUP(Table157[[#This Row],[Period]],$L$16:$M$28,2,FALSE),0)</f>
        <v>0</v>
      </c>
      <c r="O19" s="32">
        <f>Table157[[#This Row],[Beginning Balance]]-Table157[[#This Row],[Principal]]-Table157[[#This Row],[Prepayments]]-Table157[[#This Row],[Defaulted Principal]]</f>
        <v>7281418.8300000001</v>
      </c>
      <c r="P19" s="32">
        <f>Table157[[#This Row],[Principal]]+Table157[[#This Row],[Interest]]+Table157[[#This Row],[Prepayments]]+Table157[[#This Row],[RecoveredAmount]]</f>
        <v>61872.270000000004</v>
      </c>
      <c r="Q19" s="32">
        <f ca="1">ROUND(Table157[[#This Row],[Cash Flow]]/((1+ActualRateToUse)^(IF(ISNUMBER(SEARCH("Actual",$C$7)),Table157[[#This Row],[Running Total]]/365,Table157[[#This Row],[Period]]/12))),2)</f>
        <v>61324.58</v>
      </c>
      <c r="R19" s="4">
        <f>IF(MONTH(Table157[[#This Row],[Date]])=2,28,DAY(DATE(YEAR(Table157[[#This Row],[Date]]),MONTH(Table157[[#This Row],[Date]])+1,1)-1))</f>
        <v>30</v>
      </c>
      <c r="S19" s="4">
        <f ca="1">SUM(OFFSET(Table157[[#Headers],[Days in month]],1,0):Table157[[#This Row],[Days in month]])</f>
        <v>92</v>
      </c>
      <c r="T19" s="30">
        <f>InterestRate*AmortizationMultiplier*IF(ISNUMBER(SEARCH("Actual",$C$7)),Table157[[#This Row],[Days in month]]/365,1/12)</f>
        <v>2.8749999999999995E-3</v>
      </c>
    </row>
    <row r="20" spans="2:20" x14ac:dyDescent="0.2">
      <c r="B20" s="41">
        <v>45961</v>
      </c>
      <c r="C20" s="4">
        <f t="shared" si="1"/>
        <v>4</v>
      </c>
      <c r="D20" s="32">
        <f t="shared" si="0"/>
        <v>7281418.8300000001</v>
      </c>
      <c r="E20" s="43">
        <f>ROUND(Table157[[#This Row],[Beginning Balance]]*Table157[[#This Row],[Monthly Interest Rate]],2)</f>
        <v>21631.88</v>
      </c>
      <c r="F20" s="43">
        <f>+F19-1</f>
        <v>252</v>
      </c>
      <c r="G20" s="44">
        <f>IFERROR(IF($C$13="No","N/A",IF(Table157[[#This Row],[Period]]=1,$C$6,PMT(InterestRate*AmortizationMultiplier/12,Table157[[#This Row],[Am Thru]],-Table157[[#This Row],[Beginning Balance]]))),0)</f>
        <v>40834.897491626267</v>
      </c>
      <c r="H20" s="43">
        <f>MAX(0,IF(C20=$C$4,D20,ROUND(IF($C$3="Fixed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19203.02</v>
      </c>
      <c r="I20" s="43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20773.89</v>
      </c>
      <c r="J20" s="43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3647.99</v>
      </c>
      <c r="K20" s="43">
        <f>ROUND(Table157[[#This Row],[Defaulted Principal]]*IF($C$9="No",$E$4,VLOOKUP(Table157[[#This Row],[Period]],[1]Forecast!$H$2:$L$1048576,3,FALSE)),2)</f>
        <v>291.72000000000003</v>
      </c>
      <c r="L20" s="4">
        <f>Table157[[#This Row],[Period]]+$E$9</f>
        <v>16</v>
      </c>
      <c r="M20" s="43">
        <f>Table157[[#This Row],[Defaulted Principal]]-Table157[[#This Row],[Estimated Loss]]</f>
        <v>3356.2699999999995</v>
      </c>
      <c r="N20" s="32">
        <f>IFERROR(VLOOKUP(Table157[[#This Row],[Period]],$L$16:$M$28,2,FALSE),0)</f>
        <v>0</v>
      </c>
      <c r="O20" s="32">
        <f>Table157[[#This Row],[Beginning Balance]]-Table157[[#This Row],[Principal]]-Table157[[#This Row],[Prepayments]]-Table157[[#This Row],[Defaulted Principal]]</f>
        <v>7237793.9300000006</v>
      </c>
      <c r="P20" s="32">
        <f>Table157[[#This Row],[Principal]]+Table157[[#This Row],[Interest]]+Table157[[#This Row],[Prepayments]]+Table157[[#This Row],[RecoveredAmount]]</f>
        <v>61608.79</v>
      </c>
      <c r="Q20" s="32">
        <f ca="1">ROUND(Table157[[#This Row],[Cash Flow]]/((1+ActualRateToUse)^(IF(ISNUMBER(SEARCH("Actual",$C$7)),Table157[[#This Row],[Running Total]]/365,Table157[[#This Row],[Period]]/12))),2)</f>
        <v>60880.76</v>
      </c>
      <c r="R20" s="4">
        <f>IF(MONTH(Table157[[#This Row],[Date]])=2,28,DAY(DATE(YEAR(Table157[[#This Row],[Date]]),MONTH(Table157[[#This Row],[Date]])+1,1)-1))</f>
        <v>31</v>
      </c>
      <c r="S20" s="4">
        <f ca="1">SUM(OFFSET(Table157[[#Headers],[Days in month]],1,0):Table157[[#This Row],[Days in month]])</f>
        <v>123</v>
      </c>
      <c r="T20" s="30">
        <f>InterestRate*AmortizationMultiplier*IF(ISNUMBER(SEARCH("Actual",$C$7)),Table157[[#This Row],[Days in month]]/365,1/12)</f>
        <v>2.9708333333333331E-3</v>
      </c>
    </row>
    <row r="21" spans="2:20" x14ac:dyDescent="0.2">
      <c r="B21" s="41">
        <v>45991</v>
      </c>
      <c r="C21" s="4">
        <f t="shared" si="1"/>
        <v>5</v>
      </c>
      <c r="D21" s="32">
        <f t="shared" si="0"/>
        <v>7237793.9300000006</v>
      </c>
      <c r="E21" s="32">
        <f>ROUND(Table157[[#This Row],[Beginning Balance]]*Table157[[#This Row],[Monthly Interest Rate]],2)</f>
        <v>20808.66</v>
      </c>
      <c r="F21" s="32">
        <f t="shared" si="2"/>
        <v>251</v>
      </c>
      <c r="G21" s="45">
        <f>IFERROR(IF($C$13="No","N/A",IF(Table157[[#This Row],[Period]]=1,$C$6,PMT(InterestRate*AmortizationMultiplier/12,Table157[[#This Row],[Am Thru]],-Table157[[#This Row],[Beginning Balance]]))),0)</f>
        <v>40699.856310371229</v>
      </c>
      <c r="H21" s="32">
        <f>MAX(0,IF(C21=$C$4,D21,ROUND(IF($C$3="Fixed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19891.2</v>
      </c>
      <c r="I2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20649.43</v>
      </c>
      <c r="J2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3626.13</v>
      </c>
      <c r="K21" s="32">
        <f>ROUND(Table157[[#This Row],[Defaulted Principal]]*IF($C$9="No",$E$4,VLOOKUP(Table157[[#This Row],[Period]],[1]Forecast!$H$2:$L$1048576,3,FALSE)),2)</f>
        <v>289.97000000000003</v>
      </c>
      <c r="L21" s="4">
        <f>Table157[[#This Row],[Period]]+$E$9</f>
        <v>17</v>
      </c>
      <c r="M21" s="32">
        <f>Table157[[#This Row],[Defaulted Principal]]-Table157[[#This Row],[Estimated Loss]]</f>
        <v>3336.16</v>
      </c>
      <c r="N21" s="32">
        <f>IFERROR(VLOOKUP(Table157[[#This Row],[Period]],$L$16:$M$28,2,FALSE),0)</f>
        <v>0</v>
      </c>
      <c r="O21" s="32">
        <f>Table157[[#This Row],[Beginning Balance]]-Table157[[#This Row],[Principal]]-Table157[[#This Row],[Prepayments]]-Table157[[#This Row],[Defaulted Principal]]</f>
        <v>7193627.1700000009</v>
      </c>
      <c r="P21" s="32">
        <f>Table157[[#This Row],[Principal]]+Table157[[#This Row],[Interest]]+Table157[[#This Row],[Prepayments]]+Table157[[#This Row],[RecoveredAmount]]</f>
        <v>61349.29</v>
      </c>
      <c r="Q21" s="32">
        <f ca="1">ROUND(Table157[[#This Row],[Cash Flow]]/((1+ActualRateToUse)^(IF(ISNUMBER(SEARCH("Actual",$C$7)),Table157[[#This Row],[Running Total]]/365,Table157[[#This Row],[Period]]/12))),2)</f>
        <v>60448.81</v>
      </c>
      <c r="R21" s="4">
        <f>IF(MONTH(Table157[[#This Row],[Date]])=2,28,DAY(DATE(YEAR(Table157[[#This Row],[Date]]),MONTH(Table157[[#This Row],[Date]])+1,1)-1))</f>
        <v>30</v>
      </c>
      <c r="S21" s="4">
        <f ca="1">SUM(OFFSET(Table157[[#Headers],[Days in month]],1,0):Table157[[#This Row],[Days in month]])</f>
        <v>153</v>
      </c>
      <c r="T21" s="30">
        <f>InterestRate*AmortizationMultiplier*IF(ISNUMBER(SEARCH("Actual",$C$7)),Table157[[#This Row],[Days in month]]/365,1/12)</f>
        <v>2.8749999999999995E-3</v>
      </c>
    </row>
    <row r="22" spans="2:20" x14ac:dyDescent="0.2">
      <c r="B22" s="41">
        <v>46022</v>
      </c>
      <c r="C22" s="4">
        <f t="shared" si="1"/>
        <v>6</v>
      </c>
      <c r="D22" s="32">
        <f t="shared" si="0"/>
        <v>7193627.1700000009</v>
      </c>
      <c r="E22" s="32">
        <f>ROUND(Table157[[#This Row],[Beginning Balance]]*Table157[[#This Row],[Monthly Interest Rate]],2)</f>
        <v>21371.07</v>
      </c>
      <c r="F22" s="32">
        <f t="shared" si="2"/>
        <v>250</v>
      </c>
      <c r="G22" s="45">
        <f>IFERROR(IF($C$13="No","N/A",IF(Table157[[#This Row],[Period]]=1,$C$6,PMT(InterestRate*AmortizationMultiplier/12,Table157[[#This Row],[Am Thru]],-Table157[[#This Row],[Beginning Balance]]))),0)</f>
        <v>40561.348700655901</v>
      </c>
      <c r="H22" s="32">
        <f>MAX(0,IF(C22=$C$4,D22,ROUND(IF($C$3="Fixed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19190.28</v>
      </c>
      <c r="I2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20523.419999999998</v>
      </c>
      <c r="J2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3604.01</v>
      </c>
      <c r="K22" s="32">
        <f>ROUND(Table157[[#This Row],[Defaulted Principal]]*IF($C$9="No",$E$4,VLOOKUP(Table157[[#This Row],[Period]],[1]Forecast!$H$2:$L$1048576,3,FALSE)),2)</f>
        <v>288.2</v>
      </c>
      <c r="L22" s="4">
        <f>Table157[[#This Row],[Period]]+$E$9</f>
        <v>18</v>
      </c>
      <c r="M22" s="32">
        <f>Table157[[#This Row],[Defaulted Principal]]-Table157[[#This Row],[Estimated Loss]]</f>
        <v>3315.8100000000004</v>
      </c>
      <c r="N22" s="32">
        <f>IFERROR(VLOOKUP(Table157[[#This Row],[Period]],$L$16:$M$28,2,FALSE),0)</f>
        <v>0</v>
      </c>
      <c r="O22" s="32">
        <f>Table157[[#This Row],[Beginning Balance]]-Table157[[#This Row],[Principal]]-Table157[[#This Row],[Prepayments]]-Table157[[#This Row],[Defaulted Principal]]</f>
        <v>7150309.4600000009</v>
      </c>
      <c r="P22" s="32">
        <f>Table157[[#This Row],[Principal]]+Table157[[#This Row],[Interest]]+Table157[[#This Row],[Prepayments]]+Table157[[#This Row],[RecoveredAmount]]</f>
        <v>61084.77</v>
      </c>
      <c r="Q22" s="32">
        <f ca="1">ROUND(Table157[[#This Row],[Cash Flow]]/((1+ActualRateToUse)^(IF(ISNUMBER(SEARCH("Actual",$C$7)),Table157[[#This Row],[Running Total]]/365,Table157[[#This Row],[Period]]/12))),2)</f>
        <v>60008.12</v>
      </c>
      <c r="R22" s="4">
        <f>IF(MONTH(Table157[[#This Row],[Date]])=2,28,DAY(DATE(YEAR(Table157[[#This Row],[Date]]),MONTH(Table157[[#This Row],[Date]])+1,1)-1))</f>
        <v>31</v>
      </c>
      <c r="S22" s="4">
        <f ca="1">SUM(OFFSET(Table157[[#Headers],[Days in month]],1,0):Table157[[#This Row],[Days in month]])</f>
        <v>184</v>
      </c>
      <c r="T22" s="30">
        <f>InterestRate*AmortizationMultiplier*IF(ISNUMBER(SEARCH("Actual",$C$7)),Table157[[#This Row],[Days in month]]/365,1/12)</f>
        <v>2.9708333333333331E-3</v>
      </c>
    </row>
    <row r="23" spans="2:20" x14ac:dyDescent="0.2">
      <c r="B23" s="41">
        <v>46053</v>
      </c>
      <c r="C23" s="4">
        <f t="shared" si="1"/>
        <v>7</v>
      </c>
      <c r="D23" s="32">
        <f t="shared" si="0"/>
        <v>7150309.4600000009</v>
      </c>
      <c r="E23" s="32">
        <f>ROUND(Table157[[#This Row],[Beginning Balance]]*Table157[[#This Row],[Monthly Interest Rate]],2)</f>
        <v>21242.38</v>
      </c>
      <c r="F23" s="32">
        <f t="shared" si="2"/>
        <v>249</v>
      </c>
      <c r="G23" s="45">
        <f>IFERROR(IF($C$13="No","N/A",IF(Table157[[#This Row],[Period]]=1,$C$6,PMT(InterestRate*AmortizationMultiplier/12,Table157[[#This Row],[Am Thru]],-Table157[[#This Row],[Beginning Balance]]))),0)</f>
        <v>40427.208068530919</v>
      </c>
      <c r="H23" s="32">
        <f>MAX(0,IF(C23=$C$4,D23,ROUND(IF($C$3="Fixed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19184.830000000002</v>
      </c>
      <c r="I2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20399.830000000002</v>
      </c>
      <c r="J2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3553.7</v>
      </c>
      <c r="K23" s="32">
        <f>ROUND(Table157[[#This Row],[Defaulted Principal]]*IF($C$9="No",$E$4,VLOOKUP(Table157[[#This Row],[Period]],[1]Forecast!$H$2:$L$1048576,3,FALSE)),2)</f>
        <v>283.51</v>
      </c>
      <c r="L23" s="4">
        <f>Table157[[#This Row],[Period]]+$E$9</f>
        <v>19</v>
      </c>
      <c r="M23" s="32">
        <f>Table157[[#This Row],[Defaulted Principal]]-Table157[[#This Row],[Estimated Loss]]</f>
        <v>3270.1899999999996</v>
      </c>
      <c r="N23" s="32">
        <f>IFERROR(VLOOKUP(Table157[[#This Row],[Period]],$L$16:$M$28,2,FALSE),0)</f>
        <v>0</v>
      </c>
      <c r="O23" s="32">
        <f>Table157[[#This Row],[Beginning Balance]]-Table157[[#This Row],[Principal]]-Table157[[#This Row],[Prepayments]]-Table157[[#This Row],[Defaulted Principal]]</f>
        <v>7107171.1000000006</v>
      </c>
      <c r="P23" s="32">
        <f>Table157[[#This Row],[Principal]]+Table157[[#This Row],[Interest]]+Table157[[#This Row],[Prepayments]]+Table157[[#This Row],[RecoveredAmount]]</f>
        <v>60827.040000000008</v>
      </c>
      <c r="Q23" s="32">
        <f ca="1">ROUND(Table157[[#This Row],[Cash Flow]]/((1+ActualRateToUse)^(IF(ISNUMBER(SEARCH("Actual",$C$7)),Table157[[#This Row],[Running Total]]/365,Table157[[#This Row],[Period]]/12))),2)</f>
        <v>59576.17</v>
      </c>
      <c r="R23" s="4">
        <f>IF(MONTH(Table157[[#This Row],[Date]])=2,28,DAY(DATE(YEAR(Table157[[#This Row],[Date]]),MONTH(Table157[[#This Row],[Date]])+1,1)-1))</f>
        <v>31</v>
      </c>
      <c r="S23" s="4">
        <f ca="1">SUM(OFFSET(Table157[[#Headers],[Days in month]],1,0):Table157[[#This Row],[Days in month]])</f>
        <v>215</v>
      </c>
      <c r="T23" s="30">
        <f>InterestRate*AmortizationMultiplier*IF(ISNUMBER(SEARCH("Actual",$C$7)),Table157[[#This Row],[Days in month]]/365,1/12)</f>
        <v>2.9708333333333331E-3</v>
      </c>
    </row>
    <row r="24" spans="2:20" x14ac:dyDescent="0.2">
      <c r="B24" s="41">
        <v>46081</v>
      </c>
      <c r="C24" s="4">
        <f t="shared" si="1"/>
        <v>8</v>
      </c>
      <c r="D24" s="32">
        <f t="shared" si="0"/>
        <v>7107171.1000000006</v>
      </c>
      <c r="E24" s="32">
        <f>ROUND(Table157[[#This Row],[Beginning Balance]]*Table157[[#This Row],[Monthly Interest Rate]],2)</f>
        <v>19070.91</v>
      </c>
      <c r="F24" s="32">
        <f t="shared" si="2"/>
        <v>248</v>
      </c>
      <c r="G24" s="45">
        <f>IFERROR(IF($C$13="No","N/A",IF(Table157[[#This Row],[Period]]=1,$C$6,PMT(InterestRate*AmortizationMultiplier/12,Table157[[#This Row],[Am Thru]],-Table157[[#This Row],[Beginning Balance]]))),0)</f>
        <v>40293.671199941469</v>
      </c>
      <c r="H24" s="32">
        <f>MAX(0,IF(C24=$C$4,D24,ROUND(IF($C$3="Fixed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21222.76</v>
      </c>
      <c r="I2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20276.759999999998</v>
      </c>
      <c r="J2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3532.26</v>
      </c>
      <c r="K24" s="32">
        <f>ROUND(Table157[[#This Row],[Defaulted Principal]]*IF($C$9="No",$E$4,VLOOKUP(Table157[[#This Row],[Period]],[1]Forecast!$H$2:$L$1048576,3,FALSE)),2)</f>
        <v>281.8</v>
      </c>
      <c r="L24" s="4">
        <f>Table157[[#This Row],[Period]]+$E$9</f>
        <v>20</v>
      </c>
      <c r="M24" s="32">
        <f>Table157[[#This Row],[Defaulted Principal]]-Table157[[#This Row],[Estimated Loss]]</f>
        <v>3250.46</v>
      </c>
      <c r="N24" s="32">
        <f>IFERROR(VLOOKUP(Table157[[#This Row],[Period]],$L$16:$M$28,2,FALSE),0)</f>
        <v>0</v>
      </c>
      <c r="O24" s="32">
        <f>Table157[[#This Row],[Beginning Balance]]-Table157[[#This Row],[Principal]]-Table157[[#This Row],[Prepayments]]-Table157[[#This Row],[Defaulted Principal]]</f>
        <v>7062139.3200000012</v>
      </c>
      <c r="P24" s="32">
        <f>Table157[[#This Row],[Principal]]+Table157[[#This Row],[Interest]]+Table157[[#This Row],[Prepayments]]+Table157[[#This Row],[RecoveredAmount]]</f>
        <v>60570.429999999993</v>
      </c>
      <c r="Q24" s="32">
        <f ca="1">ROUND(Table157[[#This Row],[Cash Flow]]/((1+ActualRateToUse)^(IF(ISNUMBER(SEARCH("Actual",$C$7)),Table157[[#This Row],[Running Total]]/365,Table157[[#This Row],[Period]]/12))),2)</f>
        <v>59164.52</v>
      </c>
      <c r="R24" s="4">
        <f>IF(MONTH(Table157[[#This Row],[Date]])=2,28,DAY(DATE(YEAR(Table157[[#This Row],[Date]]),MONTH(Table157[[#This Row],[Date]])+1,1)-1))</f>
        <v>28</v>
      </c>
      <c r="S24" s="4">
        <f ca="1">SUM(OFFSET(Table157[[#Headers],[Days in month]],1,0):Table157[[#This Row],[Days in month]])</f>
        <v>243</v>
      </c>
      <c r="T24" s="30">
        <f>InterestRate*AmortizationMultiplier*IF(ISNUMBER(SEARCH("Actual",$C$7)),Table157[[#This Row],[Days in month]]/365,1/12)</f>
        <v>2.6833333333333336E-3</v>
      </c>
    </row>
    <row r="25" spans="2:20" x14ac:dyDescent="0.2">
      <c r="B25" s="41">
        <v>46112</v>
      </c>
      <c r="C25" s="4">
        <f t="shared" si="1"/>
        <v>9</v>
      </c>
      <c r="D25" s="32">
        <f t="shared" si="0"/>
        <v>7062139.3200000012</v>
      </c>
      <c r="E25" s="32">
        <f>ROUND(Table157[[#This Row],[Beginning Balance]]*Table157[[#This Row],[Monthly Interest Rate]],2)</f>
        <v>20980.44</v>
      </c>
      <c r="F25" s="32">
        <f t="shared" si="2"/>
        <v>247</v>
      </c>
      <c r="G25" s="45">
        <f>IFERROR(IF($C$13="No","N/A",IF(Table157[[#This Row],[Period]]=1,$C$6,PMT(InterestRate*AmortizationMultiplier/12,Table157[[#This Row],[Am Thru]],-Table157[[#This Row],[Beginning Balance]]))),0)</f>
        <v>40148.95691226684</v>
      </c>
      <c r="H25" s="32">
        <f>MAX(0,IF(C25=$C$4,D25,ROUND(IF($C$3="Fixed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19168.52</v>
      </c>
      <c r="I2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20148.28</v>
      </c>
      <c r="J2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3509.88</v>
      </c>
      <c r="K25" s="32">
        <f>ROUND(Table157[[#This Row],[Defaulted Principal]]*IF($C$9="No",$E$4,VLOOKUP(Table157[[#This Row],[Period]],[1]Forecast!$H$2:$L$1048576,3,FALSE)),2)</f>
        <v>280.01</v>
      </c>
      <c r="L25" s="4">
        <f>Table157[[#This Row],[Period]]+$E$9</f>
        <v>21</v>
      </c>
      <c r="M25" s="32">
        <f>Table157[[#This Row],[Defaulted Principal]]-Table157[[#This Row],[Estimated Loss]]</f>
        <v>3229.87</v>
      </c>
      <c r="N25" s="32">
        <f>IFERROR(VLOOKUP(Table157[[#This Row],[Period]],$L$16:$M$28,2,FALSE),0)</f>
        <v>0</v>
      </c>
      <c r="O25" s="32">
        <f>Table157[[#This Row],[Beginning Balance]]-Table157[[#This Row],[Principal]]-Table157[[#This Row],[Prepayments]]-Table157[[#This Row],[Defaulted Principal]]</f>
        <v>7019312.6400000015</v>
      </c>
      <c r="P25" s="32">
        <f>Table157[[#This Row],[Principal]]+Table157[[#This Row],[Interest]]+Table157[[#This Row],[Prepayments]]+Table157[[#This Row],[RecoveredAmount]]</f>
        <v>60297.24</v>
      </c>
      <c r="Q25" s="32">
        <f ca="1">ROUND(Table157[[#This Row],[Cash Flow]]/((1+ActualRateToUse)^(IF(ISNUMBER(SEARCH("Actual",$C$7)),Table157[[#This Row],[Running Total]]/365,Table157[[#This Row],[Period]]/12))),2)</f>
        <v>58721.48</v>
      </c>
      <c r="R25" s="4">
        <f>IF(MONTH(Table157[[#This Row],[Date]])=2,28,DAY(DATE(YEAR(Table157[[#This Row],[Date]]),MONTH(Table157[[#This Row],[Date]])+1,1)-1))</f>
        <v>31</v>
      </c>
      <c r="S25" s="4">
        <f ca="1">SUM(OFFSET(Table157[[#Headers],[Days in month]],1,0):Table157[[#This Row],[Days in month]])</f>
        <v>274</v>
      </c>
      <c r="T25" s="30">
        <f>InterestRate*AmortizationMultiplier*IF(ISNUMBER(SEARCH("Actual",$C$7)),Table157[[#This Row],[Days in month]]/365,1/12)</f>
        <v>2.9708333333333331E-3</v>
      </c>
    </row>
    <row r="26" spans="2:20" x14ac:dyDescent="0.2">
      <c r="B26" s="41">
        <v>46142</v>
      </c>
      <c r="C26" s="4">
        <f t="shared" si="1"/>
        <v>10</v>
      </c>
      <c r="D26" s="32">
        <f t="shared" si="0"/>
        <v>7019312.6400000015</v>
      </c>
      <c r="E26" s="32">
        <f>ROUND(Table157[[#This Row],[Beginning Balance]]*Table157[[#This Row],[Monthly Interest Rate]],2)</f>
        <v>20180.52</v>
      </c>
      <c r="F26" s="32">
        <f t="shared" si="2"/>
        <v>246</v>
      </c>
      <c r="G26" s="45">
        <f>IFERROR(IF($C$13="No","N/A",IF(Table157[[#This Row],[Period]]=1,$C$6,PMT(InterestRate*AmortizationMultiplier/12,Table157[[#This Row],[Am Thru]],-Table157[[#This Row],[Beginning Balance]]))),0)</f>
        <v>40016.334986768888</v>
      </c>
      <c r="H26" s="32">
        <f>MAX(0,IF(C26=$C$4,D26,ROUND(IF($C$3="Fixed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19835.810000000001</v>
      </c>
      <c r="I2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20026.099999999999</v>
      </c>
      <c r="J2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3453.5</v>
      </c>
      <c r="K26" s="32">
        <f>ROUND(Table157[[#This Row],[Defaulted Principal]]*IF($C$9="No",$E$4,VLOOKUP(Table157[[#This Row],[Period]],[1]Forecast!$H$2:$L$1048576,3,FALSE)),2)</f>
        <v>274.86</v>
      </c>
      <c r="L26" s="4">
        <f>Table157[[#This Row],[Period]]+$E$9</f>
        <v>22</v>
      </c>
      <c r="M26" s="32">
        <f>Table157[[#This Row],[Defaulted Principal]]-Table157[[#This Row],[Estimated Loss]]</f>
        <v>3178.64</v>
      </c>
      <c r="N26" s="32">
        <f>IFERROR(VLOOKUP(Table157[[#This Row],[Period]],$L$16:$M$28,2,FALSE),0)</f>
        <v>0</v>
      </c>
      <c r="O26" s="32">
        <f>Table157[[#This Row],[Beginning Balance]]-Table157[[#This Row],[Principal]]-Table157[[#This Row],[Prepayments]]-Table157[[#This Row],[Defaulted Principal]]</f>
        <v>6975997.2300000023</v>
      </c>
      <c r="P26" s="32">
        <f>Table157[[#This Row],[Principal]]+Table157[[#This Row],[Interest]]+Table157[[#This Row],[Prepayments]]+Table157[[#This Row],[RecoveredAmount]]</f>
        <v>60042.43</v>
      </c>
      <c r="Q26" s="32">
        <f ca="1">ROUND(Table157[[#This Row],[Cash Flow]]/((1+ActualRateToUse)^(IF(ISNUMBER(SEARCH("Actual",$C$7)),Table157[[#This Row],[Running Total]]/365,Table157[[#This Row],[Period]]/12))),2)</f>
        <v>58304.04</v>
      </c>
      <c r="R26" s="4">
        <f>IF(MONTH(Table157[[#This Row],[Date]])=2,28,DAY(DATE(YEAR(Table157[[#This Row],[Date]]),MONTH(Table157[[#This Row],[Date]])+1,1)-1))</f>
        <v>30</v>
      </c>
      <c r="S26" s="4">
        <f ca="1">SUM(OFFSET(Table157[[#Headers],[Days in month]],1,0):Table157[[#This Row],[Days in month]])</f>
        <v>304</v>
      </c>
      <c r="T26" s="30">
        <f>InterestRate*AmortizationMultiplier*IF(ISNUMBER(SEARCH("Actual",$C$7)),Table157[[#This Row],[Days in month]]/365,1/12)</f>
        <v>2.8749999999999995E-3</v>
      </c>
    </row>
    <row r="27" spans="2:20" x14ac:dyDescent="0.2">
      <c r="B27" s="41">
        <v>46173</v>
      </c>
      <c r="C27" s="4">
        <f t="shared" si="1"/>
        <v>11</v>
      </c>
      <c r="D27" s="32">
        <f t="shared" si="0"/>
        <v>6975997.2300000023</v>
      </c>
      <c r="E27" s="32">
        <f>ROUND(Table157[[#This Row],[Beginning Balance]]*Table157[[#This Row],[Monthly Interest Rate]],2)</f>
        <v>20724.53</v>
      </c>
      <c r="F27" s="32">
        <f t="shared" si="2"/>
        <v>245</v>
      </c>
      <c r="G27" s="45">
        <f>IFERROR(IF($C$13="No","N/A",IF(Table157[[#This Row],[Period]]=1,$C$6,PMT(InterestRate*AmortizationMultiplier/12,Table157[[#This Row],[Am Thru]],-Table157[[#This Row],[Beginning Balance]]))),0)</f>
        <v>39880.504063184009</v>
      </c>
      <c r="H27" s="32">
        <f>MAX(0,IF(C27=$C$4,D27,ROUND(IF($C$3="Fixed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19155.97</v>
      </c>
      <c r="I2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19902.52</v>
      </c>
      <c r="J2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3432.19</v>
      </c>
      <c r="K27" s="32">
        <f>ROUND(Table157[[#This Row],[Defaulted Principal]]*IF($C$9="No",$E$4,VLOOKUP(Table157[[#This Row],[Period]],[1]Forecast!$H$2:$L$1048576,3,FALSE)),2)</f>
        <v>273.16000000000003</v>
      </c>
      <c r="L27" s="4">
        <f>Table157[[#This Row],[Period]]+$E$9</f>
        <v>23</v>
      </c>
      <c r="M27" s="32">
        <f>Table157[[#This Row],[Defaulted Principal]]-Table157[[#This Row],[Estimated Loss]]</f>
        <v>3159.03</v>
      </c>
      <c r="N27" s="32">
        <f>IFERROR(VLOOKUP(Table157[[#This Row],[Period]],$L$16:$M$28,2,FALSE),0)</f>
        <v>0</v>
      </c>
      <c r="O27" s="32">
        <f>Table157[[#This Row],[Beginning Balance]]-Table157[[#This Row],[Principal]]-Table157[[#This Row],[Prepayments]]-Table157[[#This Row],[Defaulted Principal]]</f>
        <v>6933506.5500000026</v>
      </c>
      <c r="P27" s="32">
        <f>Table157[[#This Row],[Principal]]+Table157[[#This Row],[Interest]]+Table157[[#This Row],[Prepayments]]+Table157[[#This Row],[RecoveredAmount]]</f>
        <v>59783.020000000004</v>
      </c>
      <c r="Q27" s="32">
        <f ca="1">ROUND(Table157[[#This Row],[Cash Flow]]/((1+ActualRateToUse)^(IF(ISNUMBER(SEARCH("Actual",$C$7)),Table157[[#This Row],[Running Total]]/365,Table157[[#This Row],[Period]]/12))),2)</f>
        <v>57878.48</v>
      </c>
      <c r="R27" s="4">
        <f>IF(MONTH(Table157[[#This Row],[Date]])=2,28,DAY(DATE(YEAR(Table157[[#This Row],[Date]]),MONTH(Table157[[#This Row],[Date]])+1,1)-1))</f>
        <v>31</v>
      </c>
      <c r="S27" s="4">
        <f ca="1">SUM(OFFSET(Table157[[#Headers],[Days in month]],1,0):Table157[[#This Row],[Days in month]])</f>
        <v>335</v>
      </c>
      <c r="T27" s="30">
        <f>InterestRate*AmortizationMultiplier*IF(ISNUMBER(SEARCH("Actual",$C$7)),Table157[[#This Row],[Days in month]]/365,1/12)</f>
        <v>2.9708333333333331E-3</v>
      </c>
    </row>
    <row r="28" spans="2:20" x14ac:dyDescent="0.2">
      <c r="B28" s="41">
        <v>46203</v>
      </c>
      <c r="C28" s="4">
        <f t="shared" si="1"/>
        <v>12</v>
      </c>
      <c r="D28" s="32">
        <f t="shared" si="0"/>
        <v>6933506.5500000026</v>
      </c>
      <c r="E28" s="32">
        <f>ROUND(Table157[[#This Row],[Beginning Balance]]*Table157[[#This Row],[Monthly Interest Rate]],2)</f>
        <v>19933.830000000002</v>
      </c>
      <c r="F28" s="32">
        <f t="shared" si="2"/>
        <v>244</v>
      </c>
      <c r="G28" s="45">
        <f>IFERROR(IF($C$13="No","N/A",IF(Table157[[#This Row],[Period]]=1,$C$6,PMT(InterestRate*AmortizationMultiplier/12,Table157[[#This Row],[Am Thru]],-Table157[[#This Row],[Beginning Balance]]))),0)</f>
        <v>39748.964705034938</v>
      </c>
      <c r="H28" s="32">
        <f>MAX(0,IF(C28=$C$4,D28,ROUND(IF($C$3="Fixed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19815.13</v>
      </c>
      <c r="I2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19781.29</v>
      </c>
      <c r="J2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3411.29</v>
      </c>
      <c r="K28" s="32">
        <f>ROUND(Table157[[#This Row],[Defaulted Principal]]*IF($C$9="No",$E$4,VLOOKUP(Table157[[#This Row],[Period]],[1]Forecast!$H$2:$L$1048576,3,FALSE)),2)</f>
        <v>271.5</v>
      </c>
      <c r="L28" s="4">
        <f>Table157[[#This Row],[Period]]+$E$9</f>
        <v>24</v>
      </c>
      <c r="M28" s="32">
        <f>Table157[[#This Row],[Defaulted Principal]]-Table157[[#This Row],[Estimated Loss]]</f>
        <v>3139.79</v>
      </c>
      <c r="N28" s="32">
        <f>IFERROR(VLOOKUP(Table157[[#This Row],[Period]],$L$16:$M$28,2,FALSE),0)</f>
        <v>0</v>
      </c>
      <c r="O28" s="32">
        <f>Table157[[#This Row],[Beginning Balance]]-Table157[[#This Row],[Principal]]-Table157[[#This Row],[Prepayments]]-Table157[[#This Row],[Defaulted Principal]]</f>
        <v>6890498.8400000026</v>
      </c>
      <c r="P28" s="32">
        <f>Table157[[#This Row],[Principal]]+Table157[[#This Row],[Interest]]+Table157[[#This Row],[Prepayments]]+Table157[[#This Row],[RecoveredAmount]]</f>
        <v>59530.250000000007</v>
      </c>
      <c r="Q28" s="32">
        <f ca="1">ROUND(Table157[[#This Row],[Cash Flow]]/((1+ActualRateToUse)^(IF(ISNUMBER(SEARCH("Actual",$C$7)),Table157[[#This Row],[Running Total]]/365,Table157[[#This Row],[Period]]/12))),2)</f>
        <v>57466.9</v>
      </c>
      <c r="R28" s="4">
        <f>IF(MONTH(Table157[[#This Row],[Date]])=2,28,DAY(DATE(YEAR(Table157[[#This Row],[Date]]),MONTH(Table157[[#This Row],[Date]])+1,1)-1))</f>
        <v>30</v>
      </c>
      <c r="S28" s="4">
        <f ca="1">SUM(OFFSET(Table157[[#Headers],[Days in month]],1,0):Table157[[#This Row],[Days in month]])</f>
        <v>365</v>
      </c>
      <c r="T28" s="30">
        <f>InterestRate*AmortizationMultiplier*IF(ISNUMBER(SEARCH("Actual",$C$7)),Table157[[#This Row],[Days in month]]/365,1/12)</f>
        <v>2.8749999999999995E-3</v>
      </c>
    </row>
    <row r="29" spans="2:20" x14ac:dyDescent="0.2">
      <c r="B29" s="41">
        <v>46234</v>
      </c>
      <c r="C29" s="4">
        <f t="shared" si="1"/>
        <v>13</v>
      </c>
      <c r="D29" s="32">
        <f t="shared" si="0"/>
        <v>6890498.8400000026</v>
      </c>
      <c r="E29" s="32">
        <f>ROUND(Table157[[#This Row],[Beginning Balance]]*Table157[[#This Row],[Monthly Interest Rate]],2)</f>
        <v>20470.52</v>
      </c>
      <c r="F29" s="32">
        <f t="shared" si="2"/>
        <v>243</v>
      </c>
      <c r="G29" s="45">
        <f>IFERROR(IF($C$13="No","N/A",IF(Table157[[#This Row],[Period]]=1,$C$6,PMT(InterestRate*AmortizationMultiplier/12,Table157[[#This Row],[Am Thru]],-Table157[[#This Row],[Beginning Balance]]))),0)</f>
        <v>39614.037016333903</v>
      </c>
      <c r="H29" s="32">
        <f>MAX(0,IF(C29=$C$4,D29,ROUND(IF($C$3="Fixed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19143.52</v>
      </c>
      <c r="I2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19658.59</v>
      </c>
      <c r="J2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3555.5</v>
      </c>
      <c r="K29" s="32">
        <f>ROUND(Table157[[#This Row],[Defaulted Principal]]*IF($C$9="No",$E$4,VLOOKUP(Table157[[#This Row],[Period]],[1]Forecast!$H$2:$L$1048576,3,FALSE)),2)</f>
        <v>286.44</v>
      </c>
      <c r="L29" s="4">
        <f>Table157[[#This Row],[Period]]+$E$9</f>
        <v>25</v>
      </c>
      <c r="M29" s="32">
        <f>Table157[[#This Row],[Defaulted Principal]]-Table157[[#This Row],[Estimated Loss]]</f>
        <v>3269.06</v>
      </c>
      <c r="N29" s="32">
        <f>IFERROR(VLOOKUP(Table157[[#This Row],[Period]],$L$16:$M$385,2,FALSE),0)</f>
        <v>3109.7400000000002</v>
      </c>
      <c r="O29" s="32">
        <f>Table157[[#This Row],[Beginning Balance]]-Table157[[#This Row],[Principal]]-Table157[[#This Row],[Prepayments]]-Table157[[#This Row],[Defaulted Principal]]</f>
        <v>6848141.2300000032</v>
      </c>
      <c r="P29" s="32">
        <f>Table157[[#This Row],[Principal]]+Table157[[#This Row],[Interest]]+Table157[[#This Row],[Prepayments]]+Table157[[#This Row],[RecoveredAmount]]</f>
        <v>62382.37</v>
      </c>
      <c r="Q29" s="32">
        <f ca="1">ROUND(Table157[[#This Row],[Cash Flow]]/((1+ActualRateToUse)^(IF(ISNUMBER(SEARCH("Actual",$C$7)),Table157[[#This Row],[Running Total]]/365,Table157[[#This Row],[Period]]/12))),2)</f>
        <v>60040.02</v>
      </c>
      <c r="R29" s="4">
        <f>IF(MONTH(Table157[[#This Row],[Date]])=2,28,DAY(DATE(YEAR(Table157[[#This Row],[Date]]),MONTH(Table157[[#This Row],[Date]])+1,1)-1))</f>
        <v>31</v>
      </c>
      <c r="S29" s="4">
        <f ca="1">SUM(OFFSET(Table157[[#Headers],[Days in month]],1,0):Table157[[#This Row],[Days in month]])</f>
        <v>396</v>
      </c>
      <c r="T29" s="30">
        <f>InterestRate*AmortizationMultiplier*IF(ISNUMBER(SEARCH("Actual",$C$7)),Table157[[#This Row],[Days in month]]/365,1/12)</f>
        <v>2.9708333333333331E-3</v>
      </c>
    </row>
    <row r="30" spans="2:20" x14ac:dyDescent="0.2">
      <c r="B30" s="41">
        <v>46265</v>
      </c>
      <c r="C30" s="4">
        <f t="shared" si="1"/>
        <v>14</v>
      </c>
      <c r="D30" s="32">
        <f t="shared" si="0"/>
        <v>6848141.2300000032</v>
      </c>
      <c r="E30" s="32">
        <f>ROUND(Table157[[#This Row],[Beginning Balance]]*Table157[[#This Row],[Monthly Interest Rate]],2)</f>
        <v>20344.689999999999</v>
      </c>
      <c r="F30" s="32">
        <f t="shared" si="2"/>
        <v>242</v>
      </c>
      <c r="G30" s="45">
        <f>IFERROR(IF($C$13="No","N/A",IF(Table157[[#This Row],[Period]]=1,$C$6,PMT(InterestRate*AmortizationMultiplier/12,Table157[[#This Row],[Am Thru]],-Table157[[#This Row],[Beginning Balance]]))),0)</f>
        <v>39482.41879982665</v>
      </c>
      <c r="H30" s="32">
        <f>MAX(0,IF(C30=$C$4,D30,ROUND(IF($C$3="Fixed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19137.73</v>
      </c>
      <c r="I3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19537.75</v>
      </c>
      <c r="J3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3533.64</v>
      </c>
      <c r="K30" s="32">
        <f>ROUND(Table157[[#This Row],[Defaulted Principal]]*IF($C$9="No",$E$4,VLOOKUP(Table157[[#This Row],[Period]],[1]Forecast!$H$2:$L$1048576,3,FALSE)),2)</f>
        <v>284.68</v>
      </c>
      <c r="L30" s="4">
        <f>Table157[[#This Row],[Period]]+$E$9</f>
        <v>26</v>
      </c>
      <c r="M30" s="32">
        <f>Table157[[#This Row],[Defaulted Principal]]-Table157[[#This Row],[Estimated Loss]]</f>
        <v>3248.96</v>
      </c>
      <c r="N30" s="32">
        <f>IFERROR(VLOOKUP(Table157[[#This Row],[Period]],$L$16:$M$385,2,FALSE),0)</f>
        <v>3091.39</v>
      </c>
      <c r="O30" s="32">
        <f>Table157[[#This Row],[Beginning Balance]]-Table157[[#This Row],[Principal]]-Table157[[#This Row],[Prepayments]]-Table157[[#This Row],[Defaulted Principal]]</f>
        <v>6805932.1100000031</v>
      </c>
      <c r="P30" s="32">
        <f>Table157[[#This Row],[Principal]]+Table157[[#This Row],[Interest]]+Table157[[#This Row],[Prepayments]]+Table157[[#This Row],[RecoveredAmount]]</f>
        <v>62111.56</v>
      </c>
      <c r="Q30" s="32">
        <f ca="1">ROUND(Table157[[#This Row],[Cash Flow]]/((1+ActualRateToUse)^(IF(ISNUMBER(SEARCH("Actual",$C$7)),Table157[[#This Row],[Running Total]]/365,Table157[[#This Row],[Period]]/12))),2)</f>
        <v>59600.54</v>
      </c>
      <c r="R30" s="4">
        <f>IF(MONTH(Table157[[#This Row],[Date]])=2,28,DAY(DATE(YEAR(Table157[[#This Row],[Date]]),MONTH(Table157[[#This Row],[Date]])+1,1)-1))</f>
        <v>31</v>
      </c>
      <c r="S30" s="4">
        <f ca="1">SUM(OFFSET(Table157[[#Headers],[Days in month]],1,0):Table157[[#This Row],[Days in month]])</f>
        <v>427</v>
      </c>
      <c r="T30" s="30">
        <f>InterestRate*AmortizationMultiplier*IF(ISNUMBER(SEARCH("Actual",$C$7)),Table157[[#This Row],[Days in month]]/365,1/12)</f>
        <v>2.9708333333333331E-3</v>
      </c>
    </row>
    <row r="31" spans="2:20" x14ac:dyDescent="0.2">
      <c r="B31" s="41">
        <v>46295</v>
      </c>
      <c r="C31" s="4">
        <f t="shared" si="1"/>
        <v>15</v>
      </c>
      <c r="D31" s="32">
        <f t="shared" si="0"/>
        <v>6805932.1100000031</v>
      </c>
      <c r="E31" s="32">
        <f>ROUND(Table157[[#This Row],[Beginning Balance]]*Table157[[#This Row],[Monthly Interest Rate]],2)</f>
        <v>19567.05</v>
      </c>
      <c r="F31" s="32">
        <f t="shared" si="2"/>
        <v>241</v>
      </c>
      <c r="G31" s="45">
        <f>IFERROR(IF($C$13="No","N/A",IF(Table157[[#This Row],[Period]]=1,$C$6,PMT(InterestRate*AmortizationMultiplier/12,Table157[[#This Row],[Am Thru]],-Table157[[#This Row],[Beginning Balance]]))),0)</f>
        <v>39351.235773894434</v>
      </c>
      <c r="H31" s="32">
        <f>MAX(0,IF(C31=$C$4,D31,ROUND(IF($C$3="Fixed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19784.189999999999</v>
      </c>
      <c r="I3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19417.32</v>
      </c>
      <c r="J3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3511.86</v>
      </c>
      <c r="K31" s="32">
        <f>ROUND(Table157[[#This Row],[Defaulted Principal]]*IF($C$9="No",$E$4,VLOOKUP(Table157[[#This Row],[Period]],[1]Forecast!$H$2:$L$1048576,3,FALSE)),2)</f>
        <v>282.93</v>
      </c>
      <c r="L31" s="4">
        <f>Table157[[#This Row],[Period]]+$E$9</f>
        <v>27</v>
      </c>
      <c r="M31" s="32">
        <f>Table157[[#This Row],[Defaulted Principal]]-Table157[[#This Row],[Estimated Loss]]</f>
        <v>3228.9300000000003</v>
      </c>
      <c r="N31" s="32">
        <f>IFERROR(VLOOKUP(Table157[[#This Row],[Period]],$L$16:$M$385,2,FALSE),0)</f>
        <v>3073.1000000000004</v>
      </c>
      <c r="O31" s="32">
        <f>Table157[[#This Row],[Beginning Balance]]-Table157[[#This Row],[Principal]]-Table157[[#This Row],[Prepayments]]-Table157[[#This Row],[Defaulted Principal]]</f>
        <v>6763218.7400000021</v>
      </c>
      <c r="P31" s="32">
        <f>Table157[[#This Row],[Principal]]+Table157[[#This Row],[Interest]]+Table157[[#This Row],[Prepayments]]+Table157[[#This Row],[RecoveredAmount]]</f>
        <v>61841.659999999996</v>
      </c>
      <c r="Q31" s="32">
        <f ca="1">ROUND(Table157[[#This Row],[Cash Flow]]/((1+ActualRateToUse)^(IF(ISNUMBER(SEARCH("Actual",$C$7)),Table157[[#This Row],[Running Total]]/365,Table157[[#This Row],[Period]]/12))),2)</f>
        <v>59169.75</v>
      </c>
      <c r="R31" s="4">
        <f>IF(MONTH(Table157[[#This Row],[Date]])=2,28,DAY(DATE(YEAR(Table157[[#This Row],[Date]]),MONTH(Table157[[#This Row],[Date]])+1,1)-1))</f>
        <v>30</v>
      </c>
      <c r="S31" s="4">
        <f ca="1">SUM(OFFSET(Table157[[#Headers],[Days in month]],1,0):Table157[[#This Row],[Days in month]])</f>
        <v>457</v>
      </c>
      <c r="T31" s="30">
        <f>InterestRate*AmortizationMultiplier*IF(ISNUMBER(SEARCH("Actual",$C$7)),Table157[[#This Row],[Days in month]]/365,1/12)</f>
        <v>2.8749999999999995E-3</v>
      </c>
    </row>
    <row r="32" spans="2:20" x14ac:dyDescent="0.2">
      <c r="B32" s="41">
        <v>46326</v>
      </c>
      <c r="C32" s="4">
        <f t="shared" si="1"/>
        <v>16</v>
      </c>
      <c r="D32" s="32">
        <f t="shared" si="0"/>
        <v>6763218.7400000021</v>
      </c>
      <c r="E32" s="32">
        <f>ROUND(Table157[[#This Row],[Beginning Balance]]*Table157[[#This Row],[Monthly Interest Rate]],2)</f>
        <v>20092.400000000001</v>
      </c>
      <c r="F32" s="32">
        <f t="shared" si="2"/>
        <v>240</v>
      </c>
      <c r="G32" s="45">
        <f>IFERROR(IF($C$13="No","N/A",IF(Table157[[#This Row],[Period]]=1,$C$6,PMT(InterestRate*AmortizationMultiplier/12,Table157[[#This Row],[Am Thru]],-Table157[[#This Row],[Beginning Balance]]))),0)</f>
        <v>39216.704424501972</v>
      </c>
      <c r="H32" s="32">
        <f>MAX(0,IF(C32=$C$4,D32,ROUND(IF($C$3="Fixed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19124.3</v>
      </c>
      <c r="I3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19295.46</v>
      </c>
      <c r="J3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3652.14</v>
      </c>
      <c r="K32" s="32">
        <f>ROUND(Table157[[#This Row],[Defaulted Principal]]*IF($C$9="No",$E$4,VLOOKUP(Table157[[#This Row],[Period]],[1]Forecast!$H$2:$L$1048576,3,FALSE)),2)</f>
        <v>297.68</v>
      </c>
      <c r="L32" s="4">
        <f>Table157[[#This Row],[Period]]+$E$9</f>
        <v>28</v>
      </c>
      <c r="M32" s="32">
        <f>Table157[[#This Row],[Defaulted Principal]]-Table157[[#This Row],[Estimated Loss]]</f>
        <v>3354.46</v>
      </c>
      <c r="N32" s="32">
        <f>IFERROR(VLOOKUP(Table157[[#This Row],[Period]],$L$16:$M$385,2,FALSE),0)</f>
        <v>3356.2699999999995</v>
      </c>
      <c r="O32" s="32">
        <f>Table157[[#This Row],[Beginning Balance]]-Table157[[#This Row],[Principal]]-Table157[[#This Row],[Prepayments]]-Table157[[#This Row],[Defaulted Principal]]</f>
        <v>6721146.8400000026</v>
      </c>
      <c r="P32" s="32">
        <f>Table157[[#This Row],[Principal]]+Table157[[#This Row],[Interest]]+Table157[[#This Row],[Prepayments]]+Table157[[#This Row],[RecoveredAmount]]</f>
        <v>61868.429999999993</v>
      </c>
      <c r="Q32" s="32">
        <f ca="1">ROUND(Table157[[#This Row],[Cash Flow]]/((1+ActualRateToUse)^(IF(ISNUMBER(SEARCH("Actual",$C$7)),Table157[[#This Row],[Running Total]]/365,Table157[[#This Row],[Period]]/12))),2)</f>
        <v>59018.28</v>
      </c>
      <c r="R32" s="4">
        <f>IF(MONTH(Table157[[#This Row],[Date]])=2,28,DAY(DATE(YEAR(Table157[[#This Row],[Date]]),MONTH(Table157[[#This Row],[Date]])+1,1)-1))</f>
        <v>31</v>
      </c>
      <c r="S32" s="4">
        <f ca="1">SUM(OFFSET(Table157[[#Headers],[Days in month]],1,0):Table157[[#This Row],[Days in month]])</f>
        <v>488</v>
      </c>
      <c r="T32" s="30">
        <f>InterestRate*AmortizationMultiplier*IF(ISNUMBER(SEARCH("Actual",$C$7)),Table157[[#This Row],[Days in month]]/365,1/12)</f>
        <v>2.9708333333333331E-3</v>
      </c>
    </row>
    <row r="33" spans="2:20" x14ac:dyDescent="0.2">
      <c r="B33" s="41">
        <v>46356</v>
      </c>
      <c r="C33" s="4">
        <f t="shared" si="1"/>
        <v>17</v>
      </c>
      <c r="D33" s="32">
        <f t="shared" si="0"/>
        <v>6721146.8400000026</v>
      </c>
      <c r="E33" s="32">
        <f>ROUND(Table157[[#This Row],[Beginning Balance]]*Table157[[#This Row],[Monthly Interest Rate]],2)</f>
        <v>19323.3</v>
      </c>
      <c r="F33" s="32">
        <f t="shared" si="2"/>
        <v>239</v>
      </c>
      <c r="G33" s="45">
        <f>IFERROR(IF($C$13="No","N/A",IF(Table157[[#This Row],[Period]]=1,$C$6,PMT(InterestRate*AmortizationMultiplier/12,Table157[[#This Row],[Am Thru]],-Table157[[#This Row],[Beginning Balance]]))),0)</f>
        <v>39085.456059436736</v>
      </c>
      <c r="H33" s="32">
        <f>MAX(0,IF(C33=$C$4,D33,ROUND(IF($C$3="Fixed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19762.16</v>
      </c>
      <c r="I3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19175.43</v>
      </c>
      <c r="J3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3629.42</v>
      </c>
      <c r="K33" s="32">
        <f>ROUND(Table157[[#This Row],[Defaulted Principal]]*IF($C$9="No",$E$4,VLOOKUP(Table157[[#This Row],[Period]],[1]Forecast!$H$2:$L$1048576,3,FALSE)),2)</f>
        <v>295.83</v>
      </c>
      <c r="L33" s="4">
        <f>Table157[[#This Row],[Period]]+$E$9</f>
        <v>29</v>
      </c>
      <c r="M33" s="32">
        <f>Table157[[#This Row],[Defaulted Principal]]-Table157[[#This Row],[Estimated Loss]]</f>
        <v>3333.59</v>
      </c>
      <c r="N33" s="32">
        <f>IFERROR(VLOOKUP(Table157[[#This Row],[Period]],$L$16:$M$385,2,FALSE),0)</f>
        <v>3336.16</v>
      </c>
      <c r="O33" s="32">
        <f>Table157[[#This Row],[Beginning Balance]]-Table157[[#This Row],[Principal]]-Table157[[#This Row],[Prepayments]]-Table157[[#This Row],[Defaulted Principal]]</f>
        <v>6678579.8300000029</v>
      </c>
      <c r="P33" s="32">
        <f>Table157[[#This Row],[Principal]]+Table157[[#This Row],[Interest]]+Table157[[#This Row],[Prepayments]]+Table157[[#This Row],[RecoveredAmount]]</f>
        <v>61597.05</v>
      </c>
      <c r="Q33" s="32">
        <f ca="1">ROUND(Table157[[#This Row],[Cash Flow]]/((1+ActualRateToUse)^(IF(ISNUMBER(SEARCH("Actual",$C$7)),Table157[[#This Row],[Running Total]]/365,Table157[[#This Row],[Period]]/12))),2)</f>
        <v>58589.29</v>
      </c>
      <c r="R33" s="4">
        <f>IF(MONTH(Table157[[#This Row],[Date]])=2,28,DAY(DATE(YEAR(Table157[[#This Row],[Date]]),MONTH(Table157[[#This Row],[Date]])+1,1)-1))</f>
        <v>30</v>
      </c>
      <c r="S33" s="4">
        <f ca="1">SUM(OFFSET(Table157[[#Headers],[Days in month]],1,0):Table157[[#This Row],[Days in month]])</f>
        <v>518</v>
      </c>
      <c r="T33" s="30">
        <f>InterestRate*AmortizationMultiplier*IF(ISNUMBER(SEARCH("Actual",$C$7)),Table157[[#This Row],[Days in month]]/365,1/12)</f>
        <v>2.8749999999999995E-3</v>
      </c>
    </row>
    <row r="34" spans="2:20" x14ac:dyDescent="0.2">
      <c r="B34" s="41">
        <v>46387</v>
      </c>
      <c r="C34" s="4">
        <f t="shared" si="1"/>
        <v>18</v>
      </c>
      <c r="D34" s="32">
        <f t="shared" si="0"/>
        <v>6678579.8300000029</v>
      </c>
      <c r="E34" s="32">
        <f>ROUND(Table157[[#This Row],[Beginning Balance]]*Table157[[#This Row],[Monthly Interest Rate]],2)</f>
        <v>19840.95</v>
      </c>
      <c r="F34" s="32">
        <f t="shared" si="2"/>
        <v>238</v>
      </c>
      <c r="G34" s="45">
        <f>IFERROR(IF($C$13="No","N/A",IF(Table157[[#This Row],[Period]]=1,$C$6,PMT(InterestRate*AmortizationMultiplier/12,Table157[[#This Row],[Am Thru]],-Table157[[#This Row],[Beginning Balance]]))),0)</f>
        <v>38950.888107573206</v>
      </c>
      <c r="H34" s="32">
        <f>MAX(0,IF(C34=$C$4,D34,ROUND(IF($C$3="Fixed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19109.939999999999</v>
      </c>
      <c r="I3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19053.990000000002</v>
      </c>
      <c r="J3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3606.43</v>
      </c>
      <c r="K34" s="32">
        <f>ROUND(Table157[[#This Row],[Defaulted Principal]]*IF($C$9="No",$E$4,VLOOKUP(Table157[[#This Row],[Period]],[1]Forecast!$H$2:$L$1048576,3,FALSE)),2)</f>
        <v>293.95999999999998</v>
      </c>
      <c r="L34" s="4">
        <f>Table157[[#This Row],[Period]]+$E$9</f>
        <v>30</v>
      </c>
      <c r="M34" s="32">
        <f>Table157[[#This Row],[Defaulted Principal]]-Table157[[#This Row],[Estimated Loss]]</f>
        <v>3312.47</v>
      </c>
      <c r="N34" s="32">
        <f>IFERROR(VLOOKUP(Table157[[#This Row],[Period]],$L$16:$M$385,2,FALSE),0)</f>
        <v>3315.8100000000004</v>
      </c>
      <c r="O34" s="32">
        <f>Table157[[#This Row],[Beginning Balance]]-Table157[[#This Row],[Principal]]-Table157[[#This Row],[Prepayments]]-Table157[[#This Row],[Defaulted Principal]]</f>
        <v>6636809.4700000025</v>
      </c>
      <c r="P34" s="32">
        <f>Table157[[#This Row],[Principal]]+Table157[[#This Row],[Interest]]+Table157[[#This Row],[Prepayments]]+Table157[[#This Row],[RecoveredAmount]]</f>
        <v>61320.69</v>
      </c>
      <c r="Q34" s="32">
        <f ca="1">ROUND(Table157[[#This Row],[Cash Flow]]/((1+ActualRateToUse)^(IF(ISNUMBER(SEARCH("Actual",$C$7)),Table157[[#This Row],[Running Total]]/365,Table157[[#This Row],[Period]]/12))),2)</f>
        <v>58151.94</v>
      </c>
      <c r="R34" s="4">
        <f>IF(MONTH(Table157[[#This Row],[Date]])=2,28,DAY(DATE(YEAR(Table157[[#This Row],[Date]]),MONTH(Table157[[#This Row],[Date]])+1,1)-1))</f>
        <v>31</v>
      </c>
      <c r="S34" s="4">
        <f ca="1">SUM(OFFSET(Table157[[#Headers],[Days in month]],1,0):Table157[[#This Row],[Days in month]])</f>
        <v>549</v>
      </c>
      <c r="T34" s="30">
        <f>InterestRate*AmortizationMultiplier*IF(ISNUMBER(SEARCH("Actual",$C$7)),Table157[[#This Row],[Days in month]]/365,1/12)</f>
        <v>2.9708333333333331E-3</v>
      </c>
    </row>
    <row r="35" spans="2:20" x14ac:dyDescent="0.2">
      <c r="B35" s="41">
        <v>46418</v>
      </c>
      <c r="C35" s="4">
        <f t="shared" si="1"/>
        <v>19</v>
      </c>
      <c r="D35" s="32">
        <f t="shared" si="0"/>
        <v>6636809.4700000025</v>
      </c>
      <c r="E35" s="32">
        <f>ROUND(Table157[[#This Row],[Beginning Balance]]*Table157[[#This Row],[Monthly Interest Rate]],2)</f>
        <v>19716.849999999999</v>
      </c>
      <c r="F35" s="32">
        <f t="shared" si="2"/>
        <v>237</v>
      </c>
      <c r="G35" s="45">
        <f>IFERROR(IF($C$13="No","N/A",IF(Table157[[#This Row],[Period]]=1,$C$6,PMT(InterestRate*AmortizationMultiplier/12,Table157[[#This Row],[Am Thru]],-Table157[[#This Row],[Beginning Balance]]))),0)</f>
        <v>38820.524912076209</v>
      </c>
      <c r="H35" s="32">
        <f>MAX(0,IF(C35=$C$4,D35,ROUND(IF($C$3="Fixed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19103.669999999998</v>
      </c>
      <c r="I3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18934.82</v>
      </c>
      <c r="J3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3743.16</v>
      </c>
      <c r="K35" s="32">
        <f>ROUND(Table157[[#This Row],[Defaulted Principal]]*IF($C$9="No",$E$4,VLOOKUP(Table157[[#This Row],[Period]],[1]Forecast!$H$2:$L$1048576,3,FALSE)),2)</f>
        <v>308.54000000000002</v>
      </c>
      <c r="L35" s="4">
        <f>Table157[[#This Row],[Period]]+$E$9</f>
        <v>31</v>
      </c>
      <c r="M35" s="32">
        <f>Table157[[#This Row],[Defaulted Principal]]-Table157[[#This Row],[Estimated Loss]]</f>
        <v>3434.62</v>
      </c>
      <c r="N35" s="32">
        <f>IFERROR(VLOOKUP(Table157[[#This Row],[Period]],$L$16:$M$385,2,FALSE),0)</f>
        <v>3270.1899999999996</v>
      </c>
      <c r="O35" s="32">
        <f>Table157[[#This Row],[Beginning Balance]]-Table157[[#This Row],[Principal]]-Table157[[#This Row],[Prepayments]]-Table157[[#This Row],[Defaulted Principal]]</f>
        <v>6595027.8200000022</v>
      </c>
      <c r="P35" s="32">
        <f>Table157[[#This Row],[Principal]]+Table157[[#This Row],[Interest]]+Table157[[#This Row],[Prepayments]]+Table157[[#This Row],[RecoveredAmount]]</f>
        <v>61025.53</v>
      </c>
      <c r="Q35" s="32">
        <f ca="1">ROUND(Table157[[#This Row],[Cash Flow]]/((1+ActualRateToUse)^(IF(ISNUMBER(SEARCH("Actual",$C$7)),Table157[[#This Row],[Running Total]]/365,Table157[[#This Row],[Period]]/12))),2)</f>
        <v>57698.9</v>
      </c>
      <c r="R35" s="4">
        <f>IF(MONTH(Table157[[#This Row],[Date]])=2,28,DAY(DATE(YEAR(Table157[[#This Row],[Date]]),MONTH(Table157[[#This Row],[Date]])+1,1)-1))</f>
        <v>31</v>
      </c>
      <c r="S35" s="4">
        <f ca="1">SUM(OFFSET(Table157[[#Headers],[Days in month]],1,0):Table157[[#This Row],[Days in month]])</f>
        <v>580</v>
      </c>
      <c r="T35" s="30">
        <f>InterestRate*AmortizationMultiplier*IF(ISNUMBER(SEARCH("Actual",$C$7)),Table157[[#This Row],[Days in month]]/365,1/12)</f>
        <v>2.9708333333333331E-3</v>
      </c>
    </row>
    <row r="36" spans="2:20" x14ac:dyDescent="0.2">
      <c r="B36" s="41">
        <v>46446</v>
      </c>
      <c r="C36" s="4">
        <f t="shared" si="1"/>
        <v>20</v>
      </c>
      <c r="D36" s="32">
        <f t="shared" si="0"/>
        <v>6595027.8200000022</v>
      </c>
      <c r="E36" s="32">
        <f>ROUND(Table157[[#This Row],[Beginning Balance]]*Table157[[#This Row],[Monthly Interest Rate]],2)</f>
        <v>17696.66</v>
      </c>
      <c r="F36" s="32">
        <f t="shared" si="2"/>
        <v>236</v>
      </c>
      <c r="G36" s="45">
        <f>IFERROR(IF($C$13="No","N/A",IF(Table157[[#This Row],[Period]]=1,$C$6,PMT(InterestRate*AmortizationMultiplier/12,Table157[[#This Row],[Am Thru]],-Table157[[#This Row],[Beginning Balance]]))),0)</f>
        <v>38689.661343534492</v>
      </c>
      <c r="H36" s="32">
        <f>MAX(0,IF(C36=$C$4,D36,ROUND(IF($C$3="Fixed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20993</v>
      </c>
      <c r="I3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18815.61</v>
      </c>
      <c r="J3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3719.6</v>
      </c>
      <c r="K36" s="32">
        <f>ROUND(Table157[[#This Row],[Defaulted Principal]]*IF($C$9="No",$E$4,VLOOKUP(Table157[[#This Row],[Period]],[1]Forecast!$H$2:$L$1048576,3,FALSE)),2)</f>
        <v>306.60000000000002</v>
      </c>
      <c r="L36" s="4">
        <f>Table157[[#This Row],[Period]]+$E$9</f>
        <v>32</v>
      </c>
      <c r="M36" s="32">
        <f>Table157[[#This Row],[Defaulted Principal]]-Table157[[#This Row],[Estimated Loss]]</f>
        <v>3413</v>
      </c>
      <c r="N36" s="32">
        <f>IFERROR(VLOOKUP(Table157[[#This Row],[Period]],$L$16:$M$385,2,FALSE),0)</f>
        <v>3250.46</v>
      </c>
      <c r="O36" s="32">
        <f>Table157[[#This Row],[Beginning Balance]]-Table157[[#This Row],[Principal]]-Table157[[#This Row],[Prepayments]]-Table157[[#This Row],[Defaulted Principal]]</f>
        <v>6551499.6100000022</v>
      </c>
      <c r="P36" s="32">
        <f>Table157[[#This Row],[Principal]]+Table157[[#This Row],[Interest]]+Table157[[#This Row],[Prepayments]]+Table157[[#This Row],[RecoveredAmount]]</f>
        <v>60755.73</v>
      </c>
      <c r="Q36" s="32">
        <f ca="1">ROUND(Table157[[#This Row],[Cash Flow]]/((1+ActualRateToUse)^(IF(ISNUMBER(SEARCH("Actual",$C$7)),Table157[[#This Row],[Running Total]]/365,Table157[[#This Row],[Period]]/12))),2)</f>
        <v>57288.57</v>
      </c>
      <c r="R36" s="4">
        <f>IF(MONTH(Table157[[#This Row],[Date]])=2,28,DAY(DATE(YEAR(Table157[[#This Row],[Date]]),MONTH(Table157[[#This Row],[Date]])+1,1)-1))</f>
        <v>28</v>
      </c>
      <c r="S36" s="4">
        <f ca="1">SUM(OFFSET(Table157[[#Headers],[Days in month]],1,0):Table157[[#This Row],[Days in month]])</f>
        <v>608</v>
      </c>
      <c r="T36" s="30">
        <f>InterestRate*AmortizationMultiplier*IF(ISNUMBER(SEARCH("Actual",$C$7)),Table157[[#This Row],[Days in month]]/365,1/12)</f>
        <v>2.6833333333333336E-3</v>
      </c>
    </row>
    <row r="37" spans="2:20" x14ac:dyDescent="0.2">
      <c r="B37" s="41">
        <v>46477</v>
      </c>
      <c r="C37" s="4">
        <f t="shared" si="1"/>
        <v>21</v>
      </c>
      <c r="D37" s="32">
        <f t="shared" si="0"/>
        <v>6551499.6100000022</v>
      </c>
      <c r="E37" s="32">
        <f>ROUND(Table157[[#This Row],[Beginning Balance]]*Table157[[#This Row],[Monthly Interest Rate]],2)</f>
        <v>19463.41</v>
      </c>
      <c r="F37" s="32">
        <f t="shared" si="2"/>
        <v>235</v>
      </c>
      <c r="G37" s="45">
        <f>IFERROR(IF($C$13="No","N/A",IF(Table157[[#This Row],[Period]]=1,$C$6,PMT(InterestRate*AmortizationMultiplier/12,Table157[[#This Row],[Am Thru]],-Table157[[#This Row],[Beginning Balance]]))),0)</f>
        <v>38548.080488459193</v>
      </c>
      <c r="H37" s="32">
        <f>MAX(0,IF(C37=$C$4,D37,ROUND(IF($C$3="Fixed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19084.669999999998</v>
      </c>
      <c r="I3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18691.43</v>
      </c>
      <c r="J3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3695.05</v>
      </c>
      <c r="K37" s="32">
        <f>ROUND(Table157[[#This Row],[Defaulted Principal]]*IF($C$9="No",$E$4,VLOOKUP(Table157[[#This Row],[Period]],[1]Forecast!$H$2:$L$1048576,3,FALSE)),2)</f>
        <v>304.58</v>
      </c>
      <c r="L37" s="4">
        <f>Table157[[#This Row],[Period]]+$E$9</f>
        <v>33</v>
      </c>
      <c r="M37" s="32">
        <f>Table157[[#This Row],[Defaulted Principal]]-Table157[[#This Row],[Estimated Loss]]</f>
        <v>3390.4700000000003</v>
      </c>
      <c r="N37" s="32">
        <f>IFERROR(VLOOKUP(Table157[[#This Row],[Period]],$L$16:$M$385,2,FALSE),0)</f>
        <v>3229.87</v>
      </c>
      <c r="O37" s="32">
        <f>Table157[[#This Row],[Beginning Balance]]-Table157[[#This Row],[Principal]]-Table157[[#This Row],[Prepayments]]-Table157[[#This Row],[Defaulted Principal]]</f>
        <v>6510028.4600000028</v>
      </c>
      <c r="P37" s="32">
        <f>Table157[[#This Row],[Principal]]+Table157[[#This Row],[Interest]]+Table157[[#This Row],[Prepayments]]+Table157[[#This Row],[RecoveredAmount]]</f>
        <v>60469.380000000005</v>
      </c>
      <c r="Q37" s="32">
        <f ca="1">ROUND(Table157[[#This Row],[Cash Flow]]/((1+ActualRateToUse)^(IF(ISNUMBER(SEARCH("Actual",$C$7)),Table157[[#This Row],[Running Total]]/365,Table157[[#This Row],[Period]]/12))),2)</f>
        <v>56847.99</v>
      </c>
      <c r="R37" s="4">
        <f>IF(MONTH(Table157[[#This Row],[Date]])=2,28,DAY(DATE(YEAR(Table157[[#This Row],[Date]]),MONTH(Table157[[#This Row],[Date]])+1,1)-1))</f>
        <v>31</v>
      </c>
      <c r="S37" s="4">
        <f ca="1">SUM(OFFSET(Table157[[#Headers],[Days in month]],1,0):Table157[[#This Row],[Days in month]])</f>
        <v>639</v>
      </c>
      <c r="T37" s="30">
        <f>InterestRate*AmortizationMultiplier*IF(ISNUMBER(SEARCH("Actual",$C$7)),Table157[[#This Row],[Days in month]]/365,1/12)</f>
        <v>2.9708333333333331E-3</v>
      </c>
    </row>
    <row r="38" spans="2:20" x14ac:dyDescent="0.2">
      <c r="B38" s="41">
        <v>46507</v>
      </c>
      <c r="C38" s="4">
        <f t="shared" si="1"/>
        <v>22</v>
      </c>
      <c r="D38" s="32">
        <f t="shared" si="0"/>
        <v>6510028.4600000028</v>
      </c>
      <c r="E38" s="32">
        <f>ROUND(Table157[[#This Row],[Beginning Balance]]*Table157[[#This Row],[Monthly Interest Rate]],2)</f>
        <v>18716.330000000002</v>
      </c>
      <c r="F38" s="32">
        <f t="shared" si="2"/>
        <v>234</v>
      </c>
      <c r="G38" s="45">
        <f>IFERROR(IF($C$13="No","N/A",IF(Table157[[#This Row],[Period]]=1,$C$6,PMT(InterestRate*AmortizationMultiplier/12,Table157[[#This Row],[Am Thru]],-Table157[[#This Row],[Beginning Balance]]))),0)</f>
        <v>38418.130779611565</v>
      </c>
      <c r="H38" s="32">
        <f>MAX(0,IF(C38=$C$4,D38,ROUND(IF($C$3="Fixed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19701.8</v>
      </c>
      <c r="I3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18573.11</v>
      </c>
      <c r="J3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3827.9</v>
      </c>
      <c r="K38" s="32">
        <f>ROUND(Table157[[#This Row],[Defaulted Principal]]*IF($C$9="No",$E$4,VLOOKUP(Table157[[#This Row],[Period]],[1]Forecast!$H$2:$L$1048576,3,FALSE)),2)</f>
        <v>318.95999999999998</v>
      </c>
      <c r="L38" s="4">
        <f>Table157[[#This Row],[Period]]+$E$9</f>
        <v>34</v>
      </c>
      <c r="M38" s="32">
        <f>Table157[[#This Row],[Defaulted Principal]]-Table157[[#This Row],[Estimated Loss]]</f>
        <v>3508.94</v>
      </c>
      <c r="N38" s="32">
        <f>IFERROR(VLOOKUP(Table157[[#This Row],[Period]],$L$16:$M$385,2,FALSE),0)</f>
        <v>3178.64</v>
      </c>
      <c r="O38" s="32">
        <f>Table157[[#This Row],[Beginning Balance]]-Table157[[#This Row],[Principal]]-Table157[[#This Row],[Prepayments]]-Table157[[#This Row],[Defaulted Principal]]</f>
        <v>6467925.6500000022</v>
      </c>
      <c r="P38" s="32">
        <f>Table157[[#This Row],[Principal]]+Table157[[#This Row],[Interest]]+Table157[[#This Row],[Prepayments]]+Table157[[#This Row],[RecoveredAmount]]</f>
        <v>60169.880000000005</v>
      </c>
      <c r="Q38" s="32">
        <f ca="1">ROUND(Table157[[#This Row],[Cash Flow]]/((1+ActualRateToUse)^(IF(ISNUMBER(SEARCH("Actual",$C$7)),Table157[[#This Row],[Running Total]]/365,Table157[[#This Row],[Period]]/12))),2)</f>
        <v>56402.66</v>
      </c>
      <c r="R38" s="4">
        <f>IF(MONTH(Table157[[#This Row],[Date]])=2,28,DAY(DATE(YEAR(Table157[[#This Row],[Date]]),MONTH(Table157[[#This Row],[Date]])+1,1)-1))</f>
        <v>30</v>
      </c>
      <c r="S38" s="4">
        <f ca="1">SUM(OFFSET(Table157[[#Headers],[Days in month]],1,0):Table157[[#This Row],[Days in month]])</f>
        <v>669</v>
      </c>
      <c r="T38" s="30">
        <f>InterestRate*AmortizationMultiplier*IF(ISNUMBER(SEARCH("Actual",$C$7)),Table157[[#This Row],[Days in month]]/365,1/12)</f>
        <v>2.8749999999999995E-3</v>
      </c>
    </row>
    <row r="39" spans="2:20" x14ac:dyDescent="0.2">
      <c r="B39" s="41">
        <v>46538</v>
      </c>
      <c r="C39" s="4">
        <f t="shared" si="1"/>
        <v>23</v>
      </c>
      <c r="D39" s="32">
        <f t="shared" si="0"/>
        <v>6467925.6500000022</v>
      </c>
      <c r="E39" s="32">
        <f>ROUND(Table157[[#This Row],[Beginning Balance]]*Table157[[#This Row],[Monthly Interest Rate]],2)</f>
        <v>19215.13</v>
      </c>
      <c r="F39" s="32">
        <f t="shared" si="2"/>
        <v>233</v>
      </c>
      <c r="G39" s="45">
        <f>IFERROR(IF($C$13="No","N/A",IF(Table157[[#This Row],[Period]]=1,$C$6,PMT(InterestRate*AmortizationMultiplier/12,Table157[[#This Row],[Am Thru]],-Table157[[#This Row],[Beginning Balance]]))),0)</f>
        <v>38283.999339595852</v>
      </c>
      <c r="H39" s="32">
        <f>MAX(0,IF(C39=$C$4,D39,ROUND(IF($C$3="Fixed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19068.87</v>
      </c>
      <c r="I3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18452.990000000002</v>
      </c>
      <c r="J3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3803.14</v>
      </c>
      <c r="K39" s="32">
        <f>ROUND(Table157[[#This Row],[Defaulted Principal]]*IF($C$9="No",$E$4,VLOOKUP(Table157[[#This Row],[Period]],[1]Forecast!$H$2:$L$1048576,3,FALSE)),2)</f>
        <v>316.89</v>
      </c>
      <c r="L39" s="4">
        <f>Table157[[#This Row],[Period]]+$E$9</f>
        <v>35</v>
      </c>
      <c r="M39" s="32">
        <f>Table157[[#This Row],[Defaulted Principal]]-Table157[[#This Row],[Estimated Loss]]</f>
        <v>3486.25</v>
      </c>
      <c r="N39" s="32">
        <f>IFERROR(VLOOKUP(Table157[[#This Row],[Period]],$L$16:$M$385,2,FALSE),0)</f>
        <v>3159.03</v>
      </c>
      <c r="O39" s="32">
        <f>Table157[[#This Row],[Beginning Balance]]-Table157[[#This Row],[Principal]]-Table157[[#This Row],[Prepayments]]-Table157[[#This Row],[Defaulted Principal]]</f>
        <v>6426600.6500000022</v>
      </c>
      <c r="P39" s="32">
        <f>Table157[[#This Row],[Principal]]+Table157[[#This Row],[Interest]]+Table157[[#This Row],[Prepayments]]+Table157[[#This Row],[RecoveredAmount]]</f>
        <v>59896.020000000004</v>
      </c>
      <c r="Q39" s="32">
        <f ca="1">ROUND(Table157[[#This Row],[Cash Flow]]/((1+ActualRateToUse)^(IF(ISNUMBER(SEARCH("Actual",$C$7)),Table157[[#This Row],[Running Total]]/365,Table157[[#This Row],[Period]]/12))),2)</f>
        <v>55977.99</v>
      </c>
      <c r="R39" s="4">
        <f>IF(MONTH(Table157[[#This Row],[Date]])=2,28,DAY(DATE(YEAR(Table157[[#This Row],[Date]]),MONTH(Table157[[#This Row],[Date]])+1,1)-1))</f>
        <v>31</v>
      </c>
      <c r="S39" s="4">
        <f ca="1">SUM(OFFSET(Table157[[#Headers],[Days in month]],1,0):Table157[[#This Row],[Days in month]])</f>
        <v>700</v>
      </c>
      <c r="T39" s="30">
        <f>InterestRate*AmortizationMultiplier*IF(ISNUMBER(SEARCH("Actual",$C$7)),Table157[[#This Row],[Days in month]]/365,1/12)</f>
        <v>2.9708333333333331E-3</v>
      </c>
    </row>
    <row r="40" spans="2:20" x14ac:dyDescent="0.2">
      <c r="B40" s="41">
        <v>46568</v>
      </c>
      <c r="C40" s="4">
        <f t="shared" si="1"/>
        <v>24</v>
      </c>
      <c r="D40" s="32">
        <f t="shared" si="0"/>
        <v>6426600.6500000022</v>
      </c>
      <c r="E40" s="32">
        <f>ROUND(Table157[[#This Row],[Beginning Balance]]*Table157[[#This Row],[Monthly Interest Rate]],2)</f>
        <v>18476.48</v>
      </c>
      <c r="F40" s="32">
        <f t="shared" si="2"/>
        <v>232</v>
      </c>
      <c r="G40" s="45">
        <f>IFERROR(IF($C$13="No","N/A",IF(Table157[[#This Row],[Period]]=1,$C$6,PMT(InterestRate*AmortizationMultiplier/12,Table157[[#This Row],[Am Thru]],-Table157[[#This Row],[Beginning Balance]]))),0)</f>
        <v>38154.013801313376</v>
      </c>
      <c r="H40" s="32">
        <f>MAX(0,IF(C40=$C$4,D40,ROUND(IF($C$3="Fixed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19677.53</v>
      </c>
      <c r="I4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18335.09</v>
      </c>
      <c r="J4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3778.84</v>
      </c>
      <c r="K40" s="32">
        <f>ROUND(Table157[[#This Row],[Defaulted Principal]]*IF($C$9="No",$E$4,VLOOKUP(Table157[[#This Row],[Period]],[1]Forecast!$H$2:$L$1048576,3,FALSE)),2)</f>
        <v>314.87</v>
      </c>
      <c r="L40" s="4">
        <f>Table157[[#This Row],[Period]]+$E$9</f>
        <v>36</v>
      </c>
      <c r="M40" s="32">
        <f>Table157[[#This Row],[Defaulted Principal]]-Table157[[#This Row],[Estimated Loss]]</f>
        <v>3463.9700000000003</v>
      </c>
      <c r="N40" s="32">
        <f>IFERROR(VLOOKUP(Table157[[#This Row],[Period]],$L$16:$M$385,2,FALSE),0)</f>
        <v>3139.79</v>
      </c>
      <c r="O40" s="32">
        <f>Table157[[#This Row],[Beginning Balance]]-Table157[[#This Row],[Principal]]-Table157[[#This Row],[Prepayments]]-Table157[[#This Row],[Defaulted Principal]]</f>
        <v>6384809.1900000023</v>
      </c>
      <c r="P40" s="32">
        <f>Table157[[#This Row],[Principal]]+Table157[[#This Row],[Interest]]+Table157[[#This Row],[Prepayments]]+Table157[[#This Row],[RecoveredAmount]]</f>
        <v>59628.889999999992</v>
      </c>
      <c r="Q40" s="32">
        <f ca="1">ROUND(Table157[[#This Row],[Cash Flow]]/((1+ActualRateToUse)^(IF(ISNUMBER(SEARCH("Actual",$C$7)),Table157[[#This Row],[Running Total]]/365,Table157[[#This Row],[Period]]/12))),2)</f>
        <v>55566.99</v>
      </c>
      <c r="R40" s="4">
        <f>IF(MONTH(Table157[[#This Row],[Date]])=2,28,DAY(DATE(YEAR(Table157[[#This Row],[Date]]),MONTH(Table157[[#This Row],[Date]])+1,1)-1))</f>
        <v>30</v>
      </c>
      <c r="S40" s="4">
        <f ca="1">SUM(OFFSET(Table157[[#Headers],[Days in month]],1,0):Table157[[#This Row],[Days in month]])</f>
        <v>730</v>
      </c>
      <c r="T40" s="30">
        <f>InterestRate*AmortizationMultiplier*IF(ISNUMBER(SEARCH("Actual",$C$7)),Table157[[#This Row],[Days in month]]/365,1/12)</f>
        <v>2.8749999999999995E-3</v>
      </c>
    </row>
    <row r="41" spans="2:20" x14ac:dyDescent="0.2">
      <c r="B41" s="41">
        <v>46599</v>
      </c>
      <c r="C41" s="4">
        <f t="shared" si="1"/>
        <v>25</v>
      </c>
      <c r="D41" s="32">
        <f t="shared" si="0"/>
        <v>6384809.1900000023</v>
      </c>
      <c r="E41" s="32">
        <f>ROUND(Table157[[#This Row],[Beginning Balance]]*Table157[[#This Row],[Monthly Interest Rate]],2)</f>
        <v>18968.2</v>
      </c>
      <c r="F41" s="32">
        <f t="shared" si="2"/>
        <v>231</v>
      </c>
      <c r="G41" s="45">
        <f>IFERROR(IF($C$13="No","N/A",IF(Table157[[#This Row],[Period]]=1,$C$6,PMT(InterestRate*AmortizationMultiplier/12,Table157[[#This Row],[Am Thru]],-Table157[[#This Row],[Beginning Balance]]))),0)</f>
        <v>38020.799819756314</v>
      </c>
      <c r="H41" s="32">
        <f>MAX(0,IF(C41=$C$4,D41,ROUND(IF($C$3="Fixed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19052.599999999999</v>
      </c>
      <c r="I4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18215.86</v>
      </c>
      <c r="J4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3901.12</v>
      </c>
      <c r="K41" s="32">
        <f>ROUND(Table157[[#This Row],[Defaulted Principal]]*IF($C$9="No",$E$4,VLOOKUP(Table157[[#This Row],[Period]],[1]Forecast!$H$2:$L$1048576,3,FALSE)),2)</f>
        <v>328.46</v>
      </c>
      <c r="L41" s="4">
        <f>Table157[[#This Row],[Period]]+$E$9</f>
        <v>37</v>
      </c>
      <c r="M41" s="32">
        <f>Table157[[#This Row],[Defaulted Principal]]-Table157[[#This Row],[Estimated Loss]]</f>
        <v>3572.66</v>
      </c>
      <c r="N41" s="32">
        <f>IFERROR(VLOOKUP(Table157[[#This Row],[Period]],$L$16:$M$385,2,FALSE),0)</f>
        <v>3269.06</v>
      </c>
      <c r="O41" s="32">
        <f>Table157[[#This Row],[Beginning Balance]]-Table157[[#This Row],[Principal]]-Table157[[#This Row],[Prepayments]]-Table157[[#This Row],[Defaulted Principal]]</f>
        <v>6343639.6100000022</v>
      </c>
      <c r="P41" s="32">
        <f>Table157[[#This Row],[Principal]]+Table157[[#This Row],[Interest]]+Table157[[#This Row],[Prepayments]]+Table157[[#This Row],[RecoveredAmount]]</f>
        <v>59505.72</v>
      </c>
      <c r="Q41" s="32">
        <f ca="1">ROUND(Table157[[#This Row],[Cash Flow]]/((1+ActualRateToUse)^(IF(ISNUMBER(SEARCH("Actual",$C$7)),Table157[[#This Row],[Running Total]]/365,Table157[[#This Row],[Period]]/12))),2)</f>
        <v>55286.32</v>
      </c>
      <c r="R41" s="4">
        <f>IF(MONTH(Table157[[#This Row],[Date]])=2,28,DAY(DATE(YEAR(Table157[[#This Row],[Date]]),MONTH(Table157[[#This Row],[Date]])+1,1)-1))</f>
        <v>31</v>
      </c>
      <c r="S41" s="4">
        <f ca="1">SUM(OFFSET(Table157[[#Headers],[Days in month]],1,0):Table157[[#This Row],[Days in month]])</f>
        <v>761</v>
      </c>
      <c r="T41" s="30">
        <f>InterestRate*AmortizationMultiplier*IF(ISNUMBER(SEARCH("Actual",$C$7)),Table157[[#This Row],[Days in month]]/365,1/12)</f>
        <v>2.9708333333333331E-3</v>
      </c>
    </row>
    <row r="42" spans="2:20" x14ac:dyDescent="0.2">
      <c r="B42" s="41">
        <v>46630</v>
      </c>
      <c r="C42" s="4">
        <f t="shared" si="1"/>
        <v>26</v>
      </c>
      <c r="D42" s="32">
        <f t="shared" si="0"/>
        <v>6343639.6100000022</v>
      </c>
      <c r="E42" s="32">
        <f>ROUND(Table157[[#This Row],[Beginning Balance]]*Table157[[#This Row],[Monthly Interest Rate]],2)</f>
        <v>18845.900000000001</v>
      </c>
      <c r="F42" s="32">
        <f t="shared" si="2"/>
        <v>230</v>
      </c>
      <c r="G42" s="45">
        <f>IFERROR(IF($C$13="No","N/A",IF(Table157[[#This Row],[Period]]=1,$C$6,PMT(InterestRate*AmortizationMultiplier/12,Table157[[#This Row],[Am Thru]],-Table157[[#This Row],[Beginning Balance]]))),0)</f>
        <v>37890.826092932657</v>
      </c>
      <c r="H42" s="32">
        <f>MAX(0,IF(C42=$C$4,D42,ROUND(IF($C$3="Fixed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19044.93</v>
      </c>
      <c r="I4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18098.400000000001</v>
      </c>
      <c r="J4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3875.96</v>
      </c>
      <c r="K42" s="32">
        <f>ROUND(Table157[[#This Row],[Defaulted Principal]]*IF($C$9="No",$E$4,VLOOKUP(Table157[[#This Row],[Period]],[1]Forecast!$H$2:$L$1048576,3,FALSE)),2)</f>
        <v>326.33999999999997</v>
      </c>
      <c r="L42" s="4">
        <f>Table157[[#This Row],[Period]]+$E$9</f>
        <v>38</v>
      </c>
      <c r="M42" s="32">
        <f>Table157[[#This Row],[Defaulted Principal]]-Table157[[#This Row],[Estimated Loss]]</f>
        <v>3549.62</v>
      </c>
      <c r="N42" s="32">
        <f>IFERROR(VLOOKUP(Table157[[#This Row],[Period]],$L$16:$M$385,2,FALSE),0)</f>
        <v>3248.96</v>
      </c>
      <c r="O42" s="32">
        <f>Table157[[#This Row],[Beginning Balance]]-Table157[[#This Row],[Principal]]-Table157[[#This Row],[Prepayments]]-Table157[[#This Row],[Defaulted Principal]]</f>
        <v>6302620.3200000022</v>
      </c>
      <c r="P42" s="32">
        <f>Table157[[#This Row],[Principal]]+Table157[[#This Row],[Interest]]+Table157[[#This Row],[Prepayments]]+Table157[[#This Row],[RecoveredAmount]]</f>
        <v>59238.19</v>
      </c>
      <c r="Q42" s="32">
        <f ca="1">ROUND(Table157[[#This Row],[Cash Flow]]/((1+ActualRateToUse)^(IF(ISNUMBER(SEARCH("Actual",$C$7)),Table157[[#This Row],[Running Total]]/365,Table157[[#This Row],[Period]]/12))),2)</f>
        <v>54873.120000000003</v>
      </c>
      <c r="R42" s="4">
        <f>IF(MONTH(Table157[[#This Row],[Date]])=2,28,DAY(DATE(YEAR(Table157[[#This Row],[Date]]),MONTH(Table157[[#This Row],[Date]])+1,1)-1))</f>
        <v>31</v>
      </c>
      <c r="S42" s="4">
        <f ca="1">SUM(OFFSET(Table157[[#Headers],[Days in month]],1,0):Table157[[#This Row],[Days in month]])</f>
        <v>792</v>
      </c>
      <c r="T42" s="30">
        <f>InterestRate*AmortizationMultiplier*IF(ISNUMBER(SEARCH("Actual",$C$7)),Table157[[#This Row],[Days in month]]/365,1/12)</f>
        <v>2.9708333333333331E-3</v>
      </c>
    </row>
    <row r="43" spans="2:20" x14ac:dyDescent="0.2">
      <c r="B43" s="41">
        <v>46660</v>
      </c>
      <c r="C43" s="4">
        <f t="shared" si="1"/>
        <v>27</v>
      </c>
      <c r="D43" s="32">
        <f t="shared" si="0"/>
        <v>6302620.3200000022</v>
      </c>
      <c r="E43" s="32">
        <f>ROUND(Table157[[#This Row],[Beginning Balance]]*Table157[[#This Row],[Monthly Interest Rate]],2)</f>
        <v>18120.03</v>
      </c>
      <c r="F43" s="32">
        <f t="shared" si="2"/>
        <v>229</v>
      </c>
      <c r="G43" s="45">
        <f>IFERROR(IF($C$13="No","N/A",IF(Table157[[#This Row],[Period]]=1,$C$6,PMT(InterestRate*AmortizationMultiplier/12,Table157[[#This Row],[Am Thru]],-Table157[[#This Row],[Beginning Balance]]))),0)</f>
        <v>37761.294397367659</v>
      </c>
      <c r="H43" s="32">
        <f>MAX(0,IF(C43=$C$4,D43,ROUND(IF($C$3="Fixed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19641.259999999998</v>
      </c>
      <c r="I4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17981.38</v>
      </c>
      <c r="J4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3850.9</v>
      </c>
      <c r="K43" s="32">
        <f>ROUND(Table157[[#This Row],[Defaulted Principal]]*IF($C$9="No",$E$4,VLOOKUP(Table157[[#This Row],[Period]],[1]Forecast!$H$2:$L$1048576,3,FALSE)),2)</f>
        <v>324.23</v>
      </c>
      <c r="L43" s="4">
        <f>Table157[[#This Row],[Period]]+$E$9</f>
        <v>39</v>
      </c>
      <c r="M43" s="32">
        <f>Table157[[#This Row],[Defaulted Principal]]-Table157[[#This Row],[Estimated Loss]]</f>
        <v>3526.67</v>
      </c>
      <c r="N43" s="32">
        <f>IFERROR(VLOOKUP(Table157[[#This Row],[Period]],$L$16:$M$385,2,FALSE),0)</f>
        <v>3228.9300000000003</v>
      </c>
      <c r="O43" s="32">
        <f>Table157[[#This Row],[Beginning Balance]]-Table157[[#This Row],[Principal]]-Table157[[#This Row],[Prepayments]]-Table157[[#This Row],[Defaulted Principal]]</f>
        <v>6261146.7800000021</v>
      </c>
      <c r="P43" s="32">
        <f>Table157[[#This Row],[Principal]]+Table157[[#This Row],[Interest]]+Table157[[#This Row],[Prepayments]]+Table157[[#This Row],[RecoveredAmount]]</f>
        <v>58971.6</v>
      </c>
      <c r="Q43" s="32">
        <f ca="1">ROUND(Table157[[#This Row],[Cash Flow]]/((1+ActualRateToUse)^(IF(ISNUMBER(SEARCH("Actual",$C$7)),Table157[[#This Row],[Running Total]]/365,Table157[[#This Row],[Period]]/12))),2)</f>
        <v>54468.02</v>
      </c>
      <c r="R43" s="4">
        <f>IF(MONTH(Table157[[#This Row],[Date]])=2,28,DAY(DATE(YEAR(Table157[[#This Row],[Date]]),MONTH(Table157[[#This Row],[Date]])+1,1)-1))</f>
        <v>30</v>
      </c>
      <c r="S43" s="4">
        <f ca="1">SUM(OFFSET(Table157[[#Headers],[Days in month]],1,0):Table157[[#This Row],[Days in month]])</f>
        <v>822</v>
      </c>
      <c r="T43" s="30">
        <f>InterestRate*AmortizationMultiplier*IF(ISNUMBER(SEARCH("Actual",$C$7)),Table157[[#This Row],[Days in month]]/365,1/12)</f>
        <v>2.8749999999999995E-3</v>
      </c>
    </row>
    <row r="44" spans="2:20" x14ac:dyDescent="0.2">
      <c r="B44" s="41">
        <v>46691</v>
      </c>
      <c r="C44" s="4">
        <f t="shared" si="1"/>
        <v>28</v>
      </c>
      <c r="D44" s="32">
        <f t="shared" si="0"/>
        <v>6261146.7800000021</v>
      </c>
      <c r="E44" s="32">
        <f>ROUND(Table157[[#This Row],[Beginning Balance]]*Table157[[#This Row],[Monthly Interest Rate]],2)</f>
        <v>18600.82</v>
      </c>
      <c r="F44" s="32">
        <f t="shared" si="2"/>
        <v>228</v>
      </c>
      <c r="G44" s="45">
        <f>IFERROR(IF($C$13="No","N/A",IF(Table157[[#This Row],[Period]]=1,$C$6,PMT(InterestRate*AmortizationMultiplier/12,Table157[[#This Row],[Am Thru]],-Table157[[#This Row],[Beginning Balance]]))),0)</f>
        <v>37628.573122516893</v>
      </c>
      <c r="H44" s="32">
        <f>MAX(0,IF(C44=$C$4,D44,ROUND(IF($C$3="Fixed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19027.75</v>
      </c>
      <c r="I4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17863.05</v>
      </c>
      <c r="J4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3975.83</v>
      </c>
      <c r="K44" s="32">
        <f>ROUND(Table157[[#This Row],[Defaulted Principal]]*IF($C$9="No",$E$4,VLOOKUP(Table157[[#This Row],[Period]],[1]Forecast!$H$2:$L$1048576,3,FALSE)),2)</f>
        <v>338.14</v>
      </c>
      <c r="L44" s="4">
        <f>Table157[[#This Row],[Period]]+$E$9</f>
        <v>40</v>
      </c>
      <c r="M44" s="32">
        <f>Table157[[#This Row],[Defaulted Principal]]-Table157[[#This Row],[Estimated Loss]]</f>
        <v>3637.69</v>
      </c>
      <c r="N44" s="32">
        <f>IFERROR(VLOOKUP(Table157[[#This Row],[Period]],$L$16:$M$385,2,FALSE),0)</f>
        <v>3354.46</v>
      </c>
      <c r="O44" s="32">
        <f>Table157[[#This Row],[Beginning Balance]]-Table157[[#This Row],[Principal]]-Table157[[#This Row],[Prepayments]]-Table157[[#This Row],[Defaulted Principal]]</f>
        <v>6220280.1500000022</v>
      </c>
      <c r="P44" s="32">
        <f>Table157[[#This Row],[Principal]]+Table157[[#This Row],[Interest]]+Table157[[#This Row],[Prepayments]]+Table157[[#This Row],[RecoveredAmount]]</f>
        <v>58846.079999999994</v>
      </c>
      <c r="Q44" s="32">
        <f ca="1">ROUND(Table157[[#This Row],[Cash Flow]]/((1+ActualRateToUse)^(IF(ISNUMBER(SEARCH("Actual",$C$7)),Table157[[#This Row],[Running Total]]/365,Table157[[#This Row],[Period]]/12))),2)</f>
        <v>54189.49</v>
      </c>
      <c r="R44" s="4">
        <f>IF(MONTH(Table157[[#This Row],[Date]])=2,28,DAY(DATE(YEAR(Table157[[#This Row],[Date]]),MONTH(Table157[[#This Row],[Date]])+1,1)-1))</f>
        <v>31</v>
      </c>
      <c r="S44" s="4">
        <f ca="1">SUM(OFFSET(Table157[[#Headers],[Days in month]],1,0):Table157[[#This Row],[Days in month]])</f>
        <v>853</v>
      </c>
      <c r="T44" s="30">
        <f>InterestRate*AmortizationMultiplier*IF(ISNUMBER(SEARCH("Actual",$C$7)),Table157[[#This Row],[Days in month]]/365,1/12)</f>
        <v>2.9708333333333331E-3</v>
      </c>
    </row>
    <row r="45" spans="2:20" x14ac:dyDescent="0.2">
      <c r="B45" s="41">
        <v>46721</v>
      </c>
      <c r="C45" s="4">
        <f t="shared" si="1"/>
        <v>29</v>
      </c>
      <c r="D45" s="32">
        <f t="shared" si="0"/>
        <v>6220280.1500000022</v>
      </c>
      <c r="E45" s="32">
        <f>ROUND(Table157[[#This Row],[Beginning Balance]]*Table157[[#This Row],[Monthly Interest Rate]],2)</f>
        <v>17883.310000000001</v>
      </c>
      <c r="F45" s="32">
        <f t="shared" si="2"/>
        <v>227</v>
      </c>
      <c r="G45" s="45">
        <f>IFERROR(IF($C$13="No","N/A",IF(Table157[[#This Row],[Period]]=1,$C$6,PMT(InterestRate*AmortizationMultiplier/12,Table157[[#This Row],[Am Thru]],-Table157[[#This Row],[Beginning Balance]]))),0)</f>
        <v>37499.027264002434</v>
      </c>
      <c r="H45" s="32">
        <f>MAX(0,IF(C45=$C$4,D45,ROUND(IF($C$3="Fixed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19615.72</v>
      </c>
      <c r="I4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17746.46</v>
      </c>
      <c r="J4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3949.88</v>
      </c>
      <c r="K45" s="32">
        <f>ROUND(Table157[[#This Row],[Defaulted Principal]]*IF($C$9="No",$E$4,VLOOKUP(Table157[[#This Row],[Period]],[1]Forecast!$H$2:$L$1048576,3,FALSE)),2)</f>
        <v>335.93</v>
      </c>
      <c r="L45" s="4">
        <f>Table157[[#This Row],[Period]]+$E$9</f>
        <v>41</v>
      </c>
      <c r="M45" s="32">
        <f>Table157[[#This Row],[Defaulted Principal]]-Table157[[#This Row],[Estimated Loss]]</f>
        <v>3613.9500000000003</v>
      </c>
      <c r="N45" s="32">
        <f>IFERROR(VLOOKUP(Table157[[#This Row],[Period]],$L$16:$M$385,2,FALSE),0)</f>
        <v>3333.59</v>
      </c>
      <c r="O45" s="32">
        <f>Table157[[#This Row],[Beginning Balance]]-Table157[[#This Row],[Principal]]-Table157[[#This Row],[Prepayments]]-Table157[[#This Row],[Defaulted Principal]]</f>
        <v>6178968.0900000026</v>
      </c>
      <c r="P45" s="32">
        <f>Table157[[#This Row],[Principal]]+Table157[[#This Row],[Interest]]+Table157[[#This Row],[Prepayments]]+Table157[[#This Row],[RecoveredAmount]]</f>
        <v>58579.08</v>
      </c>
      <c r="Q45" s="32">
        <f ca="1">ROUND(Table157[[#This Row],[Cash Flow]]/((1+ActualRateToUse)^(IF(ISNUMBER(SEARCH("Actual",$C$7)),Table157[[#This Row],[Running Total]]/365,Table157[[#This Row],[Period]]/12))),2)</f>
        <v>53787.44</v>
      </c>
      <c r="R45" s="4">
        <f>IF(MONTH(Table157[[#This Row],[Date]])=2,28,DAY(DATE(YEAR(Table157[[#This Row],[Date]]),MONTH(Table157[[#This Row],[Date]])+1,1)-1))</f>
        <v>30</v>
      </c>
      <c r="S45" s="4">
        <f ca="1">SUM(OFFSET(Table157[[#Headers],[Days in month]],1,0):Table157[[#This Row],[Days in month]])</f>
        <v>883</v>
      </c>
      <c r="T45" s="30">
        <f>InterestRate*AmortizationMultiplier*IF(ISNUMBER(SEARCH("Actual",$C$7)),Table157[[#This Row],[Days in month]]/365,1/12)</f>
        <v>2.8749999999999995E-3</v>
      </c>
    </row>
    <row r="46" spans="2:20" x14ac:dyDescent="0.2">
      <c r="B46" s="41">
        <v>46752</v>
      </c>
      <c r="C46" s="4">
        <f t="shared" si="1"/>
        <v>30</v>
      </c>
      <c r="D46" s="32">
        <f t="shared" si="0"/>
        <v>6178968.0900000026</v>
      </c>
      <c r="E46" s="32">
        <f>ROUND(Table157[[#This Row],[Beginning Balance]]*Table157[[#This Row],[Monthly Interest Rate]],2)</f>
        <v>18356.68</v>
      </c>
      <c r="F46" s="32">
        <f t="shared" si="2"/>
        <v>226</v>
      </c>
      <c r="G46" s="45">
        <f>IFERROR(IF($C$13="No","N/A",IF(Table157[[#This Row],[Period]]=1,$C$6,PMT(InterestRate*AmortizationMultiplier/12,Table157[[#This Row],[Am Thru]],-Table157[[#This Row],[Beginning Balance]]))),0)</f>
        <v>37366.320099429722</v>
      </c>
      <c r="H46" s="32">
        <f>MAX(0,IF(C46=$C$4,D46,ROUND(IF($C$3="Fixed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19009.64</v>
      </c>
      <c r="I4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17628.599999999999</v>
      </c>
      <c r="J4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3923.64</v>
      </c>
      <c r="K46" s="32">
        <f>ROUND(Table157[[#This Row],[Defaulted Principal]]*IF($C$9="No",$E$4,VLOOKUP(Table157[[#This Row],[Period]],[1]Forecast!$H$2:$L$1048576,3,FALSE)),2)</f>
        <v>333.7</v>
      </c>
      <c r="L46" s="4">
        <f>Table157[[#This Row],[Period]]+$E$9</f>
        <v>42</v>
      </c>
      <c r="M46" s="32">
        <f>Table157[[#This Row],[Defaulted Principal]]-Table157[[#This Row],[Estimated Loss]]</f>
        <v>3589.94</v>
      </c>
      <c r="N46" s="32">
        <f>IFERROR(VLOOKUP(Table157[[#This Row],[Period]],$L$16:$M$385,2,FALSE),0)</f>
        <v>3312.47</v>
      </c>
      <c r="O46" s="32">
        <f>Table157[[#This Row],[Beginning Balance]]-Table157[[#This Row],[Principal]]-Table157[[#This Row],[Prepayments]]-Table157[[#This Row],[Defaulted Principal]]</f>
        <v>6138406.2100000037</v>
      </c>
      <c r="P46" s="32">
        <f>Table157[[#This Row],[Principal]]+Table157[[#This Row],[Interest]]+Table157[[#This Row],[Prepayments]]+Table157[[#This Row],[RecoveredAmount]]</f>
        <v>58307.39</v>
      </c>
      <c r="Q46" s="32">
        <f ca="1">ROUND(Table157[[#This Row],[Cash Flow]]/((1+ActualRateToUse)^(IF(ISNUMBER(SEARCH("Actual",$C$7)),Table157[[#This Row],[Running Total]]/365,Table157[[#This Row],[Period]]/12))),2)</f>
        <v>53377.82</v>
      </c>
      <c r="R46" s="4">
        <f>IF(MONTH(Table157[[#This Row],[Date]])=2,28,DAY(DATE(YEAR(Table157[[#This Row],[Date]]),MONTH(Table157[[#This Row],[Date]])+1,1)-1))</f>
        <v>31</v>
      </c>
      <c r="S46" s="4">
        <f ca="1">SUM(OFFSET(Table157[[#Headers],[Days in month]],1,0):Table157[[#This Row],[Days in month]])</f>
        <v>914</v>
      </c>
      <c r="T46" s="30">
        <f>InterestRate*AmortizationMultiplier*IF(ISNUMBER(SEARCH("Actual",$C$7)),Table157[[#This Row],[Days in month]]/365,1/12)</f>
        <v>2.9708333333333331E-3</v>
      </c>
    </row>
    <row r="47" spans="2:20" x14ac:dyDescent="0.2">
      <c r="B47" s="41">
        <v>46783</v>
      </c>
      <c r="C47" s="4">
        <f t="shared" si="1"/>
        <v>31</v>
      </c>
      <c r="D47" s="32">
        <f t="shared" si="0"/>
        <v>6138406.2100000037</v>
      </c>
      <c r="E47" s="32">
        <f>ROUND(Table157[[#This Row],[Beginning Balance]]*Table157[[#This Row],[Monthly Interest Rate]],2)</f>
        <v>18236.18</v>
      </c>
      <c r="F47" s="32">
        <f t="shared" si="2"/>
        <v>225</v>
      </c>
      <c r="G47" s="45">
        <f>IFERROR(IF($C$13="No","N/A",IF(Table157[[#This Row],[Period]]=1,$C$6,PMT(InterestRate*AmortizationMultiplier/12,Table157[[#This Row],[Am Thru]],-Table157[[#This Row],[Beginning Balance]]))),0)</f>
        <v>37237.672256721591</v>
      </c>
      <c r="H47" s="32">
        <f>MAX(0,IF(C47=$C$4,D47,ROUND(IF($C$3="Fixed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19001.490000000002</v>
      </c>
      <c r="I4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17512.87</v>
      </c>
      <c r="J4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4045.21</v>
      </c>
      <c r="K47" s="32">
        <f>ROUND(Table157[[#This Row],[Defaulted Principal]]*IF($C$9="No",$E$4,VLOOKUP(Table157[[#This Row],[Period]],[1]Forecast!$H$2:$L$1048576,3,FALSE)),2)</f>
        <v>347.41</v>
      </c>
      <c r="L47" s="4">
        <f>Table157[[#This Row],[Period]]+$E$9</f>
        <v>43</v>
      </c>
      <c r="M47" s="32">
        <f>Table157[[#This Row],[Defaulted Principal]]-Table157[[#This Row],[Estimated Loss]]</f>
        <v>3697.8</v>
      </c>
      <c r="N47" s="32">
        <f>IFERROR(VLOOKUP(Table157[[#This Row],[Period]],$L$16:$M$385,2,FALSE),0)</f>
        <v>3434.62</v>
      </c>
      <c r="O47" s="32">
        <f>Table157[[#This Row],[Beginning Balance]]-Table157[[#This Row],[Principal]]-Table157[[#This Row],[Prepayments]]-Table157[[#This Row],[Defaulted Principal]]</f>
        <v>6097846.6400000034</v>
      </c>
      <c r="P47" s="32">
        <f>Table157[[#This Row],[Principal]]+Table157[[#This Row],[Interest]]+Table157[[#This Row],[Prepayments]]+Table157[[#This Row],[RecoveredAmount]]</f>
        <v>58185.159999999996</v>
      </c>
      <c r="Q47" s="32">
        <f ca="1">ROUND(Table157[[#This Row],[Cash Flow]]/((1+ActualRateToUse)^(IF(ISNUMBER(SEARCH("Actual",$C$7)),Table157[[#This Row],[Running Total]]/365,Table157[[#This Row],[Period]]/12))),2)</f>
        <v>53106.58</v>
      </c>
      <c r="R47" s="4">
        <f>IF(MONTH(Table157[[#This Row],[Date]])=2,28,DAY(DATE(YEAR(Table157[[#This Row],[Date]]),MONTH(Table157[[#This Row],[Date]])+1,1)-1))</f>
        <v>31</v>
      </c>
      <c r="S47" s="4">
        <f ca="1">SUM(OFFSET(Table157[[#Headers],[Days in month]],1,0):Table157[[#This Row],[Days in month]])</f>
        <v>945</v>
      </c>
      <c r="T47" s="30">
        <f>InterestRate*AmortizationMultiplier*IF(ISNUMBER(SEARCH("Actual",$C$7)),Table157[[#This Row],[Days in month]]/365,1/12)</f>
        <v>2.9708333333333331E-3</v>
      </c>
    </row>
    <row r="48" spans="2:20" x14ac:dyDescent="0.2">
      <c r="B48" s="41">
        <v>46812</v>
      </c>
      <c r="C48" s="4">
        <f t="shared" si="1"/>
        <v>32</v>
      </c>
      <c r="D48" s="32">
        <f t="shared" si="0"/>
        <v>6097846.6400000034</v>
      </c>
      <c r="E48" s="32">
        <f>ROUND(Table157[[#This Row],[Beginning Balance]]*Table157[[#This Row],[Monthly Interest Rate]],2)</f>
        <v>16362.56</v>
      </c>
      <c r="F48" s="32">
        <f t="shared" si="2"/>
        <v>224</v>
      </c>
      <c r="G48" s="45">
        <f>IFERROR(IF($C$13="No","N/A",IF(Table157[[#This Row],[Period]]=1,$C$6,PMT(InterestRate*AmortizationMultiplier/12,Table157[[#This Row],[Am Thru]],-Table157[[#This Row],[Beginning Balance]]))),0)</f>
        <v>37108.56840039364</v>
      </c>
      <c r="H48" s="32">
        <f>MAX(0,IF(C48=$C$4,D48,ROUND(IF($C$3="Fixed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20746.009999999998</v>
      </c>
      <c r="I4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17397.16</v>
      </c>
      <c r="J4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4018.48</v>
      </c>
      <c r="K48" s="32">
        <f>ROUND(Table157[[#This Row],[Defaulted Principal]]*IF($C$9="No",$E$4,VLOOKUP(Table157[[#This Row],[Period]],[1]Forecast!$H$2:$L$1048576,3,FALSE)),2)</f>
        <v>345.11</v>
      </c>
      <c r="L48" s="4">
        <f>Table157[[#This Row],[Period]]+$E$9</f>
        <v>44</v>
      </c>
      <c r="M48" s="32">
        <f>Table157[[#This Row],[Defaulted Principal]]-Table157[[#This Row],[Estimated Loss]]</f>
        <v>3673.37</v>
      </c>
      <c r="N48" s="32">
        <f>IFERROR(VLOOKUP(Table157[[#This Row],[Period]],$L$16:$M$385,2,FALSE),0)</f>
        <v>3413</v>
      </c>
      <c r="O48" s="32">
        <f>Table157[[#This Row],[Beginning Balance]]-Table157[[#This Row],[Principal]]-Table157[[#This Row],[Prepayments]]-Table157[[#This Row],[Defaulted Principal]]</f>
        <v>6055684.990000003</v>
      </c>
      <c r="P48" s="32">
        <f>Table157[[#This Row],[Principal]]+Table157[[#This Row],[Interest]]+Table157[[#This Row],[Prepayments]]+Table157[[#This Row],[RecoveredAmount]]</f>
        <v>57918.729999999996</v>
      </c>
      <c r="Q48" s="32">
        <f ca="1">ROUND(Table157[[#This Row],[Cash Flow]]/((1+ActualRateToUse)^(IF(ISNUMBER(SEARCH("Actual",$C$7)),Table157[[#This Row],[Running Total]]/365,Table157[[#This Row],[Period]]/12))),2)</f>
        <v>52720.54</v>
      </c>
      <c r="R48" s="4">
        <f>IF(MONTH(Table157[[#This Row],[Date]])=2,28,DAY(DATE(YEAR(Table157[[#This Row],[Date]]),MONTH(Table157[[#This Row],[Date]])+1,1)-1))</f>
        <v>28</v>
      </c>
      <c r="S48" s="4">
        <f ca="1">SUM(OFFSET(Table157[[#Headers],[Days in month]],1,0):Table157[[#This Row],[Days in month]])</f>
        <v>973</v>
      </c>
      <c r="T48" s="30">
        <f>InterestRate*AmortizationMultiplier*IF(ISNUMBER(SEARCH("Actual",$C$7)),Table157[[#This Row],[Days in month]]/365,1/12)</f>
        <v>2.6833333333333336E-3</v>
      </c>
    </row>
    <row r="49" spans="2:20" x14ac:dyDescent="0.2">
      <c r="B49" s="41">
        <v>46843</v>
      </c>
      <c r="C49" s="4">
        <f t="shared" si="1"/>
        <v>33</v>
      </c>
      <c r="D49" s="32">
        <f t="shared" si="0"/>
        <v>6055684.990000003</v>
      </c>
      <c r="E49" s="32">
        <f>ROUND(Table157[[#This Row],[Beginning Balance]]*Table157[[#This Row],[Monthly Interest Rate]],2)</f>
        <v>17990.43</v>
      </c>
      <c r="F49" s="32">
        <f t="shared" si="2"/>
        <v>223</v>
      </c>
      <c r="G49" s="45">
        <f>IFERROR(IF($C$13="No","N/A",IF(Table157[[#This Row],[Period]]=1,$C$6,PMT(InterestRate*AmortizationMultiplier/12,Table157[[#This Row],[Am Thru]],-Table157[[#This Row],[Beginning Balance]]))),0)</f>
        <v>36969.207013001069</v>
      </c>
      <c r="H49" s="32">
        <f>MAX(0,IF(C49=$C$4,D49,ROUND(IF($C$3="Fixed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18978.78</v>
      </c>
      <c r="I4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17276.87</v>
      </c>
      <c r="J4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3990.7</v>
      </c>
      <c r="K49" s="32">
        <f>ROUND(Table157[[#This Row],[Defaulted Principal]]*IF($C$9="No",$E$4,VLOOKUP(Table157[[#This Row],[Period]],[1]Forecast!$H$2:$L$1048576,3,FALSE)),2)</f>
        <v>342.73</v>
      </c>
      <c r="L49" s="4">
        <f>Table157[[#This Row],[Period]]+$E$9</f>
        <v>45</v>
      </c>
      <c r="M49" s="32">
        <f>Table157[[#This Row],[Defaulted Principal]]-Table157[[#This Row],[Estimated Loss]]</f>
        <v>3647.97</v>
      </c>
      <c r="N49" s="32">
        <f>IFERROR(VLOOKUP(Table157[[#This Row],[Period]],$L$16:$M$385,2,FALSE),0)</f>
        <v>3390.4700000000003</v>
      </c>
      <c r="O49" s="32">
        <f>Table157[[#This Row],[Beginning Balance]]-Table157[[#This Row],[Principal]]-Table157[[#This Row],[Prepayments]]-Table157[[#This Row],[Defaulted Principal]]</f>
        <v>6015438.6400000025</v>
      </c>
      <c r="P49" s="32">
        <f>Table157[[#This Row],[Principal]]+Table157[[#This Row],[Interest]]+Table157[[#This Row],[Prepayments]]+Table157[[#This Row],[RecoveredAmount]]</f>
        <v>57636.55</v>
      </c>
      <c r="Q49" s="32">
        <f ca="1">ROUND(Table157[[#This Row],[Cash Flow]]/((1+ActualRateToUse)^(IF(ISNUMBER(SEARCH("Actual",$C$7)),Table157[[#This Row],[Running Total]]/365,Table157[[#This Row],[Period]]/12))),2)</f>
        <v>52306.74</v>
      </c>
      <c r="R49" s="4">
        <f>IF(MONTH(Table157[[#This Row],[Date]])=2,28,DAY(DATE(YEAR(Table157[[#This Row],[Date]]),MONTH(Table157[[#This Row],[Date]])+1,1)-1))</f>
        <v>31</v>
      </c>
      <c r="S49" s="4">
        <f ca="1">SUM(OFFSET(Table157[[#Headers],[Days in month]],1,0):Table157[[#This Row],[Days in month]])</f>
        <v>1004</v>
      </c>
      <c r="T49" s="30">
        <f>InterestRate*AmortizationMultiplier*IF(ISNUMBER(SEARCH("Actual",$C$7)),Table157[[#This Row],[Days in month]]/365,1/12)</f>
        <v>2.9708333333333331E-3</v>
      </c>
    </row>
    <row r="50" spans="2:20" x14ac:dyDescent="0.2">
      <c r="B50" s="41">
        <v>46873</v>
      </c>
      <c r="C50" s="4">
        <f t="shared" si="1"/>
        <v>34</v>
      </c>
      <c r="D50" s="32">
        <f t="shared" si="0"/>
        <v>6015438.6400000025</v>
      </c>
      <c r="E50" s="32">
        <f>ROUND(Table157[[#This Row],[Beginning Balance]]*Table157[[#This Row],[Monthly Interest Rate]],2)</f>
        <v>17294.39</v>
      </c>
      <c r="F50" s="32">
        <f t="shared" si="2"/>
        <v>222</v>
      </c>
      <c r="G50" s="45">
        <f>IFERROR(IF($C$13="No","N/A",IF(Table157[[#This Row],[Period]]=1,$C$6,PMT(InterestRate*AmortizationMultiplier/12,Table157[[#This Row],[Am Thru]],-Table157[[#This Row],[Beginning Balance]]))),0)</f>
        <v>36841.028908541222</v>
      </c>
      <c r="H50" s="32">
        <f>MAX(0,IF(C50=$C$4,D50,ROUND(IF($C$3="Fixed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19546.64</v>
      </c>
      <c r="I5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17162.05</v>
      </c>
      <c r="J5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4108.54</v>
      </c>
      <c r="K50" s="32">
        <f>ROUND(Table157[[#This Row],[Defaulted Principal]]*IF($C$9="No",$E$4,VLOOKUP(Table157[[#This Row],[Period]],[1]Forecast!$H$2:$L$1048576,3,FALSE)),2)</f>
        <v>356.19</v>
      </c>
      <c r="L50" s="4">
        <f>Table157[[#This Row],[Period]]+$E$9</f>
        <v>46</v>
      </c>
      <c r="M50" s="32">
        <f>Table157[[#This Row],[Defaulted Principal]]-Table157[[#This Row],[Estimated Loss]]</f>
        <v>3752.35</v>
      </c>
      <c r="N50" s="32">
        <f>IFERROR(VLOOKUP(Table157[[#This Row],[Period]],$L$16:$M$385,2,FALSE),0)</f>
        <v>3508.94</v>
      </c>
      <c r="O50" s="32">
        <f>Table157[[#This Row],[Beginning Balance]]-Table157[[#This Row],[Principal]]-Table157[[#This Row],[Prepayments]]-Table157[[#This Row],[Defaulted Principal]]</f>
        <v>5974621.4100000029</v>
      </c>
      <c r="P50" s="32">
        <f>Table157[[#This Row],[Principal]]+Table157[[#This Row],[Interest]]+Table157[[#This Row],[Prepayments]]+Table157[[#This Row],[RecoveredAmount]]</f>
        <v>57512.020000000004</v>
      </c>
      <c r="Q50" s="32">
        <f ca="1">ROUND(Table157[[#This Row],[Cash Flow]]/((1+ActualRateToUse)^(IF(ISNUMBER(SEARCH("Actual",$C$7)),Table157[[#This Row],[Running Total]]/365,Table157[[#This Row],[Period]]/12))),2)</f>
        <v>52042.62</v>
      </c>
      <c r="R50" s="4">
        <f>IF(MONTH(Table157[[#This Row],[Date]])=2,28,DAY(DATE(YEAR(Table157[[#This Row],[Date]]),MONTH(Table157[[#This Row],[Date]])+1,1)-1))</f>
        <v>30</v>
      </c>
      <c r="S50" s="4">
        <f ca="1">SUM(OFFSET(Table157[[#Headers],[Days in month]],1,0):Table157[[#This Row],[Days in month]])</f>
        <v>1034</v>
      </c>
      <c r="T50" s="30">
        <f>InterestRate*AmortizationMultiplier*IF(ISNUMBER(SEARCH("Actual",$C$7)),Table157[[#This Row],[Days in month]]/365,1/12)</f>
        <v>2.8749999999999995E-3</v>
      </c>
    </row>
    <row r="51" spans="2:20" x14ac:dyDescent="0.2">
      <c r="B51" s="41">
        <v>46904</v>
      </c>
      <c r="C51" s="4">
        <f t="shared" si="1"/>
        <v>35</v>
      </c>
      <c r="D51" s="32">
        <f t="shared" si="0"/>
        <v>5974621.4100000029</v>
      </c>
      <c r="E51" s="32">
        <f>ROUND(Table157[[#This Row],[Beginning Balance]]*Table157[[#This Row],[Monthly Interest Rate]],2)</f>
        <v>17749.599999999999</v>
      </c>
      <c r="F51" s="32">
        <f t="shared" si="2"/>
        <v>221</v>
      </c>
      <c r="G51" s="45">
        <f>IFERROR(IF($C$13="No","N/A",IF(Table157[[#This Row],[Period]]=1,$C$6,PMT(InterestRate*AmortizationMultiplier/12,Table157[[#This Row],[Am Thru]],-Table157[[#This Row],[Beginning Balance]]))),0)</f>
        <v>36708.863789553667</v>
      </c>
      <c r="H51" s="32">
        <f>MAX(0,IF(C51=$C$4,D51,ROUND(IF($C$3="Fixed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18959.259999999998</v>
      </c>
      <c r="I5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17045.59</v>
      </c>
      <c r="J5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4080.67</v>
      </c>
      <c r="K51" s="32">
        <f>ROUND(Table157[[#This Row],[Defaulted Principal]]*IF($C$9="No",$E$4,VLOOKUP(Table157[[#This Row],[Period]],[1]Forecast!$H$2:$L$1048576,3,FALSE)),2)</f>
        <v>353.77</v>
      </c>
      <c r="L51" s="4">
        <f>Table157[[#This Row],[Period]]+$E$9</f>
        <v>47</v>
      </c>
      <c r="M51" s="32">
        <f>Table157[[#This Row],[Defaulted Principal]]-Table157[[#This Row],[Estimated Loss]]</f>
        <v>3726.9</v>
      </c>
      <c r="N51" s="32">
        <f>IFERROR(VLOOKUP(Table157[[#This Row],[Period]],$L$16:$M$385,2,FALSE),0)</f>
        <v>3486.25</v>
      </c>
      <c r="O51" s="32">
        <f>Table157[[#This Row],[Beginning Balance]]-Table157[[#This Row],[Principal]]-Table157[[#This Row],[Prepayments]]-Table157[[#This Row],[Defaulted Principal]]</f>
        <v>5934535.8900000034</v>
      </c>
      <c r="P51" s="32">
        <f>Table157[[#This Row],[Principal]]+Table157[[#This Row],[Interest]]+Table157[[#This Row],[Prepayments]]+Table157[[#This Row],[RecoveredAmount]]</f>
        <v>57240.7</v>
      </c>
      <c r="Q51" s="32">
        <f ca="1">ROUND(Table157[[#This Row],[Cash Flow]]/((1+ActualRateToUse)^(IF(ISNUMBER(SEARCH("Actual",$C$7)),Table157[[#This Row],[Running Total]]/365,Table157[[#This Row],[Period]]/12))),2)</f>
        <v>51642.15</v>
      </c>
      <c r="R51" s="4">
        <f>IF(MONTH(Table157[[#This Row],[Date]])=2,28,DAY(DATE(YEAR(Table157[[#This Row],[Date]]),MONTH(Table157[[#This Row],[Date]])+1,1)-1))</f>
        <v>31</v>
      </c>
      <c r="S51" s="4">
        <f ca="1">SUM(OFFSET(Table157[[#Headers],[Days in month]],1,0):Table157[[#This Row],[Days in month]])</f>
        <v>1065</v>
      </c>
      <c r="T51" s="30">
        <f>InterestRate*AmortizationMultiplier*IF(ISNUMBER(SEARCH("Actual",$C$7)),Table157[[#This Row],[Days in month]]/365,1/12)</f>
        <v>2.9708333333333331E-3</v>
      </c>
    </row>
    <row r="52" spans="2:20" x14ac:dyDescent="0.2">
      <c r="B52" s="41">
        <v>46934</v>
      </c>
      <c r="C52" s="4">
        <f t="shared" si="1"/>
        <v>36</v>
      </c>
      <c r="D52" s="32">
        <f t="shared" si="0"/>
        <v>5934535.8900000034</v>
      </c>
      <c r="E52" s="32">
        <f>ROUND(Table157[[#This Row],[Beginning Balance]]*Table157[[#This Row],[Monthly Interest Rate]],2)</f>
        <v>17061.79</v>
      </c>
      <c r="F52" s="32">
        <f t="shared" si="2"/>
        <v>220</v>
      </c>
      <c r="G52" s="45">
        <f>IFERROR(IF($C$13="No","N/A",IF(Table157[[#This Row],[Period]]=1,$C$6,PMT(InterestRate*AmortizationMultiplier/12,Table157[[#This Row],[Am Thru]],-Table157[[#This Row],[Beginning Balance]]))),0)</f>
        <v>36580.699510380859</v>
      </c>
      <c r="H52" s="32">
        <f>MAX(0,IF(C52=$C$4,D52,ROUND(IF($C$3="Fixed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19518.91</v>
      </c>
      <c r="I5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16931.23</v>
      </c>
      <c r="J5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4053.29</v>
      </c>
      <c r="K52" s="32">
        <f>ROUND(Table157[[#This Row],[Defaulted Principal]]*IF($C$9="No",$E$4,VLOOKUP(Table157[[#This Row],[Period]],[1]Forecast!$H$2:$L$1048576,3,FALSE)),2)</f>
        <v>351.4</v>
      </c>
      <c r="L52" s="4">
        <f>Table157[[#This Row],[Period]]+$E$9</f>
        <v>48</v>
      </c>
      <c r="M52" s="32">
        <f>Table157[[#This Row],[Defaulted Principal]]-Table157[[#This Row],[Estimated Loss]]</f>
        <v>3701.89</v>
      </c>
      <c r="N52" s="32">
        <f>IFERROR(VLOOKUP(Table157[[#This Row],[Period]],$L$16:$M$385,2,FALSE),0)</f>
        <v>3463.9700000000003</v>
      </c>
      <c r="O52" s="32">
        <f>Table157[[#This Row],[Beginning Balance]]-Table157[[#This Row],[Principal]]-Table157[[#This Row],[Prepayments]]-Table157[[#This Row],[Defaulted Principal]]</f>
        <v>5894032.4600000028</v>
      </c>
      <c r="P52" s="32">
        <f>Table157[[#This Row],[Principal]]+Table157[[#This Row],[Interest]]+Table157[[#This Row],[Prepayments]]+Table157[[#This Row],[RecoveredAmount]]</f>
        <v>56975.899999999994</v>
      </c>
      <c r="Q52" s="32">
        <f ca="1">ROUND(Table157[[#This Row],[Cash Flow]]/((1+ActualRateToUse)^(IF(ISNUMBER(SEARCH("Actual",$C$7)),Table157[[#This Row],[Running Total]]/365,Table157[[#This Row],[Period]]/12))),2)</f>
        <v>51254.43</v>
      </c>
      <c r="R52" s="4">
        <f>IF(MONTH(Table157[[#This Row],[Date]])=2,28,DAY(DATE(YEAR(Table157[[#This Row],[Date]]),MONTH(Table157[[#This Row],[Date]])+1,1)-1))</f>
        <v>30</v>
      </c>
      <c r="S52" s="4">
        <f ca="1">SUM(OFFSET(Table157[[#Headers],[Days in month]],1,0):Table157[[#This Row],[Days in month]])</f>
        <v>1095</v>
      </c>
      <c r="T52" s="30">
        <f>InterestRate*AmortizationMultiplier*IF(ISNUMBER(SEARCH("Actual",$C$7)),Table157[[#This Row],[Days in month]]/365,1/12)</f>
        <v>2.8749999999999995E-3</v>
      </c>
    </row>
    <row r="53" spans="2:20" x14ac:dyDescent="0.2">
      <c r="B53" s="41">
        <v>46965</v>
      </c>
      <c r="C53" s="4">
        <f t="shared" si="1"/>
        <v>37</v>
      </c>
      <c r="D53" s="32">
        <f t="shared" si="0"/>
        <v>5894032.4600000028</v>
      </c>
      <c r="E53" s="32">
        <f>ROUND(Table157[[#This Row],[Beginning Balance]]*Table157[[#This Row],[Monthly Interest Rate]],2)</f>
        <v>17510.189999999999</v>
      </c>
      <c r="F53" s="32">
        <f t="shared" si="2"/>
        <v>219</v>
      </c>
      <c r="G53" s="45">
        <f>IFERROR(IF($C$13="No","N/A",IF(Table157[[#This Row],[Period]]=1,$C$6,PMT(InterestRate*AmortizationMultiplier/12,Table157[[#This Row],[Am Thru]],-Table157[[#This Row],[Beginning Balance]]))),0)</f>
        <v>36449.46305405673</v>
      </c>
      <c r="H53" s="32">
        <f>MAX(0,IF(C53=$C$4,D53,ROUND(IF($C$3="Fixed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18939.27</v>
      </c>
      <c r="I5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16815.669999999998</v>
      </c>
      <c r="J5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4025.62</v>
      </c>
      <c r="K53" s="32">
        <f>ROUND(Table157[[#This Row],[Defaulted Principal]]*IF($C$9="No",$E$4,VLOOKUP(Table157[[#This Row],[Period]],[1]Forecast!$H$2:$L$1048576,3,FALSE)),2)</f>
        <v>349</v>
      </c>
      <c r="L53" s="4">
        <f>Table157[[#This Row],[Period]]+$E$9</f>
        <v>49</v>
      </c>
      <c r="M53" s="32">
        <f>Table157[[#This Row],[Defaulted Principal]]-Table157[[#This Row],[Estimated Loss]]</f>
        <v>3676.62</v>
      </c>
      <c r="N53" s="32">
        <f>IFERROR(VLOOKUP(Table157[[#This Row],[Period]],$L$16:$M$385,2,FALSE),0)</f>
        <v>3572.66</v>
      </c>
      <c r="O53" s="32">
        <f>Table157[[#This Row],[Beginning Balance]]-Table157[[#This Row],[Principal]]-Table157[[#This Row],[Prepayments]]-Table157[[#This Row],[Defaulted Principal]]</f>
        <v>5854251.9000000032</v>
      </c>
      <c r="P53" s="32">
        <f>Table157[[#This Row],[Principal]]+Table157[[#This Row],[Interest]]+Table157[[#This Row],[Prepayments]]+Table157[[#This Row],[RecoveredAmount]]</f>
        <v>56837.789999999994</v>
      </c>
      <c r="Q53" s="32">
        <f ca="1">ROUND(Table157[[#This Row],[Cash Flow]]/((1+ActualRateToUse)^(IF(ISNUMBER(SEARCH("Actual",$C$7)),Table157[[#This Row],[Running Total]]/365,Table157[[#This Row],[Period]]/12))),2)</f>
        <v>50977.23</v>
      </c>
      <c r="R53" s="4">
        <f>IF(MONTH(Table157[[#This Row],[Date]])=2,28,DAY(DATE(YEAR(Table157[[#This Row],[Date]]),MONTH(Table157[[#This Row],[Date]])+1,1)-1))</f>
        <v>31</v>
      </c>
      <c r="S53" s="4">
        <f ca="1">SUM(OFFSET(Table157[[#Headers],[Days in month]],1,0):Table157[[#This Row],[Days in month]])</f>
        <v>1126</v>
      </c>
      <c r="T53" s="30">
        <f>InterestRate*AmortizationMultiplier*IF(ISNUMBER(SEARCH("Actual",$C$7)),Table157[[#This Row],[Days in month]]/365,1/12)</f>
        <v>2.9708333333333331E-3</v>
      </c>
    </row>
    <row r="54" spans="2:20" x14ac:dyDescent="0.2">
      <c r="B54" s="41">
        <v>46996</v>
      </c>
      <c r="C54" s="4">
        <f t="shared" si="1"/>
        <v>38</v>
      </c>
      <c r="D54" s="32">
        <f t="shared" si="0"/>
        <v>5854251.9000000032</v>
      </c>
      <c r="E54" s="32">
        <f>ROUND(Table157[[#This Row],[Beginning Balance]]*Table157[[#This Row],[Monthly Interest Rate]],2)</f>
        <v>17392.009999999998</v>
      </c>
      <c r="F54" s="32">
        <f t="shared" si="2"/>
        <v>218</v>
      </c>
      <c r="G54" s="45">
        <f>IFERROR(IF($C$13="No","N/A",IF(Table157[[#This Row],[Period]]=1,$C$6,PMT(InterestRate*AmortizationMultiplier/12,Table157[[#This Row],[Am Thru]],-Table157[[#This Row],[Beginning Balance]]))),0)</f>
        <v>36322.199413630944</v>
      </c>
      <c r="H54" s="32">
        <f>MAX(0,IF(C54=$C$4,D54,ROUND(IF($C$3="Fixed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18930.189999999999</v>
      </c>
      <c r="I5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16702.18</v>
      </c>
      <c r="J5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3998.45</v>
      </c>
      <c r="K54" s="32">
        <f>ROUND(Table157[[#This Row],[Defaulted Principal]]*IF($C$9="No",$E$4,VLOOKUP(Table157[[#This Row],[Period]],[1]Forecast!$H$2:$L$1048576,3,FALSE)),2)</f>
        <v>346.64</v>
      </c>
      <c r="L54" s="4">
        <f>Table157[[#This Row],[Period]]+$E$9</f>
        <v>50</v>
      </c>
      <c r="M54" s="32">
        <f>Table157[[#This Row],[Defaulted Principal]]-Table157[[#This Row],[Estimated Loss]]</f>
        <v>3651.81</v>
      </c>
      <c r="N54" s="32">
        <f>IFERROR(VLOOKUP(Table157[[#This Row],[Period]],$L$16:$M$385,2,FALSE),0)</f>
        <v>3549.62</v>
      </c>
      <c r="O54" s="32">
        <f>Table157[[#This Row],[Beginning Balance]]-Table157[[#This Row],[Principal]]-Table157[[#This Row],[Prepayments]]-Table157[[#This Row],[Defaulted Principal]]</f>
        <v>5814621.0800000029</v>
      </c>
      <c r="P54" s="32">
        <f>Table157[[#This Row],[Principal]]+Table157[[#This Row],[Interest]]+Table157[[#This Row],[Prepayments]]+Table157[[#This Row],[RecoveredAmount]]</f>
        <v>56574</v>
      </c>
      <c r="Q54" s="32">
        <f ca="1">ROUND(Table157[[#This Row],[Cash Flow]]/((1+ActualRateToUse)^(IF(ISNUMBER(SEARCH("Actual",$C$7)),Table157[[#This Row],[Running Total]]/365,Table157[[#This Row],[Period]]/12))),2)</f>
        <v>50588.85</v>
      </c>
      <c r="R54" s="4">
        <f>IF(MONTH(Table157[[#This Row],[Date]])=2,28,DAY(DATE(YEAR(Table157[[#This Row],[Date]]),MONTH(Table157[[#This Row],[Date]])+1,1)-1))</f>
        <v>31</v>
      </c>
      <c r="S54" s="4">
        <f ca="1">SUM(OFFSET(Table157[[#Headers],[Days in month]],1,0):Table157[[#This Row],[Days in month]])</f>
        <v>1157</v>
      </c>
      <c r="T54" s="30">
        <f>InterestRate*AmortizationMultiplier*IF(ISNUMBER(SEARCH("Actual",$C$7)),Table157[[#This Row],[Days in month]]/365,1/12)</f>
        <v>2.9708333333333331E-3</v>
      </c>
    </row>
    <row r="55" spans="2:20" x14ac:dyDescent="0.2">
      <c r="B55" s="41">
        <v>47026</v>
      </c>
      <c r="C55" s="4">
        <f t="shared" si="1"/>
        <v>39</v>
      </c>
      <c r="D55" s="32">
        <f t="shared" si="0"/>
        <v>5814621.0800000029</v>
      </c>
      <c r="E55" s="32">
        <f>ROUND(Table157[[#This Row],[Beginning Balance]]*Table157[[#This Row],[Monthly Interest Rate]],2)</f>
        <v>16717.04</v>
      </c>
      <c r="F55" s="32">
        <f t="shared" si="2"/>
        <v>217</v>
      </c>
      <c r="G55" s="45">
        <f>IFERROR(IF($C$13="No","N/A",IF(Table157[[#This Row],[Period]]=1,$C$6,PMT(InterestRate*AmortizationMultiplier/12,Table157[[#This Row],[Am Thru]],-Table157[[#This Row],[Beginning Balance]]))),0)</f>
        <v>36195.377496010587</v>
      </c>
      <c r="H55" s="32">
        <f>MAX(0,IF(C55=$C$4,D55,ROUND(IF($C$3="Fixed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19478.34</v>
      </c>
      <c r="I5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16589.11</v>
      </c>
      <c r="J5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3971.39</v>
      </c>
      <c r="K55" s="32">
        <f>ROUND(Table157[[#This Row],[Defaulted Principal]]*IF($C$9="No",$E$4,VLOOKUP(Table157[[#This Row],[Period]],[1]Forecast!$H$2:$L$1048576,3,FALSE)),2)</f>
        <v>344.3</v>
      </c>
      <c r="L55" s="4">
        <f>Table157[[#This Row],[Period]]+$E$9</f>
        <v>51</v>
      </c>
      <c r="M55" s="32">
        <f>Table157[[#This Row],[Defaulted Principal]]-Table157[[#This Row],[Estimated Loss]]</f>
        <v>3627.0899999999997</v>
      </c>
      <c r="N55" s="32">
        <f>IFERROR(VLOOKUP(Table157[[#This Row],[Period]],$L$16:$M$385,2,FALSE),0)</f>
        <v>3526.67</v>
      </c>
      <c r="O55" s="32">
        <f>Table157[[#This Row],[Beginning Balance]]-Table157[[#This Row],[Principal]]-Table157[[#This Row],[Prepayments]]-Table157[[#This Row],[Defaulted Principal]]</f>
        <v>5774582.240000003</v>
      </c>
      <c r="P55" s="32">
        <f>Table157[[#This Row],[Principal]]+Table157[[#This Row],[Interest]]+Table157[[#This Row],[Prepayments]]+Table157[[#This Row],[RecoveredAmount]]</f>
        <v>56311.16</v>
      </c>
      <c r="Q55" s="32">
        <f ca="1">ROUND(Table157[[#This Row],[Cash Flow]]/((1+ActualRateToUse)^(IF(ISNUMBER(SEARCH("Actual",$C$7)),Table157[[#This Row],[Running Total]]/365,Table157[[#This Row],[Period]]/12))),2)</f>
        <v>50208.03</v>
      </c>
      <c r="R55" s="4">
        <f>IF(MONTH(Table157[[#This Row],[Date]])=2,28,DAY(DATE(YEAR(Table157[[#This Row],[Date]]),MONTH(Table157[[#This Row],[Date]])+1,1)-1))</f>
        <v>30</v>
      </c>
      <c r="S55" s="4">
        <f ca="1">SUM(OFFSET(Table157[[#Headers],[Days in month]],1,0):Table157[[#This Row],[Days in month]])</f>
        <v>1187</v>
      </c>
      <c r="T55" s="30">
        <f>InterestRate*AmortizationMultiplier*IF(ISNUMBER(SEARCH("Actual",$C$7)),Table157[[#This Row],[Days in month]]/365,1/12)</f>
        <v>2.8749999999999995E-3</v>
      </c>
    </row>
    <row r="56" spans="2:20" x14ac:dyDescent="0.2">
      <c r="B56" s="41">
        <v>47057</v>
      </c>
      <c r="C56" s="4">
        <f t="shared" si="1"/>
        <v>40</v>
      </c>
      <c r="D56" s="32">
        <f t="shared" si="0"/>
        <v>5774582.240000003</v>
      </c>
      <c r="E56" s="32">
        <f>ROUND(Table157[[#This Row],[Beginning Balance]]*Table157[[#This Row],[Monthly Interest Rate]],2)</f>
        <v>17155.32</v>
      </c>
      <c r="F56" s="32">
        <f t="shared" si="2"/>
        <v>216</v>
      </c>
      <c r="G56" s="45">
        <f>IFERROR(IF($C$13="No","N/A",IF(Table157[[#This Row],[Period]]=1,$C$6,PMT(InterestRate*AmortizationMultiplier/12,Table157[[#This Row],[Am Thru]],-Table157[[#This Row],[Beginning Balance]]))),0)</f>
        <v>36065.515514376319</v>
      </c>
      <c r="H56" s="32">
        <f>MAX(0,IF(C56=$C$4,D56,ROUND(IF($C$3="Fixed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18910.2</v>
      </c>
      <c r="I5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16474.88</v>
      </c>
      <c r="J5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3944.04</v>
      </c>
      <c r="K56" s="32">
        <f>ROUND(Table157[[#This Row],[Defaulted Principal]]*IF($C$9="No",$E$4,VLOOKUP(Table157[[#This Row],[Period]],[1]Forecast!$H$2:$L$1048576,3,FALSE)),2)</f>
        <v>341.92</v>
      </c>
      <c r="L56" s="4">
        <f>Table157[[#This Row],[Period]]+$E$9</f>
        <v>52</v>
      </c>
      <c r="M56" s="32">
        <f>Table157[[#This Row],[Defaulted Principal]]-Table157[[#This Row],[Estimated Loss]]</f>
        <v>3602.12</v>
      </c>
      <c r="N56" s="32">
        <f>IFERROR(VLOOKUP(Table157[[#This Row],[Period]],$L$16:$M$385,2,FALSE),0)</f>
        <v>3637.69</v>
      </c>
      <c r="O56" s="32">
        <f>Table157[[#This Row],[Beginning Balance]]-Table157[[#This Row],[Principal]]-Table157[[#This Row],[Prepayments]]-Table157[[#This Row],[Defaulted Principal]]</f>
        <v>5735253.1200000029</v>
      </c>
      <c r="P56" s="32">
        <f>Table157[[#This Row],[Principal]]+Table157[[#This Row],[Interest]]+Table157[[#This Row],[Prepayments]]+Table157[[#This Row],[RecoveredAmount]]</f>
        <v>56178.090000000011</v>
      </c>
      <c r="Q56" s="32">
        <f ca="1">ROUND(Table157[[#This Row],[Cash Flow]]/((1+ActualRateToUse)^(IF(ISNUMBER(SEARCH("Actual",$C$7)),Table157[[#This Row],[Running Total]]/365,Table157[[#This Row],[Period]]/12))),2)</f>
        <v>49939.54</v>
      </c>
      <c r="R56" s="4">
        <f>IF(MONTH(Table157[[#This Row],[Date]])=2,28,DAY(DATE(YEAR(Table157[[#This Row],[Date]]),MONTH(Table157[[#This Row],[Date]])+1,1)-1))</f>
        <v>31</v>
      </c>
      <c r="S56" s="4">
        <f ca="1">SUM(OFFSET(Table157[[#Headers],[Days in month]],1,0):Table157[[#This Row],[Days in month]])</f>
        <v>1218</v>
      </c>
      <c r="T56" s="30">
        <f>InterestRate*AmortizationMultiplier*IF(ISNUMBER(SEARCH("Actual",$C$7)),Table157[[#This Row],[Days in month]]/365,1/12)</f>
        <v>2.9708333333333331E-3</v>
      </c>
    </row>
    <row r="57" spans="2:20" x14ac:dyDescent="0.2">
      <c r="B57" s="41">
        <v>47087</v>
      </c>
      <c r="C57" s="4">
        <f t="shared" si="1"/>
        <v>41</v>
      </c>
      <c r="D57" s="32">
        <f t="shared" si="0"/>
        <v>5735253.1200000029</v>
      </c>
      <c r="E57" s="32">
        <f>ROUND(Table157[[#This Row],[Beginning Balance]]*Table157[[#This Row],[Monthly Interest Rate]],2)</f>
        <v>16488.849999999999</v>
      </c>
      <c r="F57" s="32">
        <f t="shared" si="2"/>
        <v>215</v>
      </c>
      <c r="G57" s="45">
        <f>IFERROR(IF($C$13="No","N/A",IF(Table157[[#This Row],[Period]]=1,$C$6,PMT(InterestRate*AmortizationMultiplier/12,Table157[[#This Row],[Am Thru]],-Table157[[#This Row],[Beginning Balance]]))),0)</f>
        <v>35939.584565050834</v>
      </c>
      <c r="H57" s="32">
        <f>MAX(0,IF(C57=$C$4,D57,ROUND(IF($C$3="Fixed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19450.73</v>
      </c>
      <c r="I5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16362.68</v>
      </c>
      <c r="J5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3917.18</v>
      </c>
      <c r="K57" s="32">
        <f>ROUND(Table157[[#This Row],[Defaulted Principal]]*IF($C$9="No",$E$4,VLOOKUP(Table157[[#This Row],[Period]],[1]Forecast!$H$2:$L$1048576,3,FALSE)),2)</f>
        <v>339.6</v>
      </c>
      <c r="L57" s="4">
        <f>Table157[[#This Row],[Period]]+$E$9</f>
        <v>53</v>
      </c>
      <c r="M57" s="32">
        <f>Table157[[#This Row],[Defaulted Principal]]-Table157[[#This Row],[Estimated Loss]]</f>
        <v>3577.58</v>
      </c>
      <c r="N57" s="32">
        <f>IFERROR(VLOOKUP(Table157[[#This Row],[Period]],$L$16:$M$385,2,FALSE),0)</f>
        <v>3613.9500000000003</v>
      </c>
      <c r="O57" s="32">
        <f>Table157[[#This Row],[Beginning Balance]]-Table157[[#This Row],[Principal]]-Table157[[#This Row],[Prepayments]]-Table157[[#This Row],[Defaulted Principal]]</f>
        <v>5695522.5300000031</v>
      </c>
      <c r="P57" s="32">
        <f>Table157[[#This Row],[Principal]]+Table157[[#This Row],[Interest]]+Table157[[#This Row],[Prepayments]]+Table157[[#This Row],[RecoveredAmount]]</f>
        <v>55916.21</v>
      </c>
      <c r="Q57" s="32">
        <f ca="1">ROUND(Table157[[#This Row],[Cash Flow]]/((1+ActualRateToUse)^(IF(ISNUMBER(SEARCH("Actual",$C$7)),Table157[[#This Row],[Running Total]]/365,Table157[[#This Row],[Period]]/12))),2)</f>
        <v>49562.84</v>
      </c>
      <c r="R57" s="4">
        <f>IF(MONTH(Table157[[#This Row],[Date]])=2,28,DAY(DATE(YEAR(Table157[[#This Row],[Date]]),MONTH(Table157[[#This Row],[Date]])+1,1)-1))</f>
        <v>30</v>
      </c>
      <c r="S57" s="4">
        <f ca="1">SUM(OFFSET(Table157[[#Headers],[Days in month]],1,0):Table157[[#This Row],[Days in month]])</f>
        <v>1248</v>
      </c>
      <c r="T57" s="30">
        <f>InterestRate*AmortizationMultiplier*IF(ISNUMBER(SEARCH("Actual",$C$7)),Table157[[#This Row],[Days in month]]/365,1/12)</f>
        <v>2.8749999999999995E-3</v>
      </c>
    </row>
    <row r="58" spans="2:20" x14ac:dyDescent="0.2">
      <c r="B58" s="41">
        <v>47118</v>
      </c>
      <c r="C58" s="4">
        <f t="shared" si="1"/>
        <v>42</v>
      </c>
      <c r="D58" s="32">
        <f t="shared" si="0"/>
        <v>5695522.5300000031</v>
      </c>
      <c r="E58" s="32">
        <f>ROUND(Table157[[#This Row],[Beginning Balance]]*Table157[[#This Row],[Monthly Interest Rate]],2)</f>
        <v>16920.45</v>
      </c>
      <c r="F58" s="32">
        <f t="shared" si="2"/>
        <v>214</v>
      </c>
      <c r="G58" s="45">
        <f>IFERROR(IF($C$13="No","N/A",IF(Table157[[#This Row],[Period]]=1,$C$6,PMT(InterestRate*AmortizationMultiplier/12,Table157[[#This Row],[Am Thru]],-Table157[[#This Row],[Beginning Balance]]))),0)</f>
        <v>35810.634911688685</v>
      </c>
      <c r="H58" s="32">
        <f>MAX(0,IF(C58=$C$4,D58,ROUND(IF($C$3="Fixed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18890.18</v>
      </c>
      <c r="I5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16249.33</v>
      </c>
      <c r="J5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3890.04</v>
      </c>
      <c r="K58" s="32">
        <f>ROUND(Table157[[#This Row],[Defaulted Principal]]*IF($C$9="No",$E$4,VLOOKUP(Table157[[#This Row],[Period]],[1]Forecast!$H$2:$L$1048576,3,FALSE)),2)</f>
        <v>337.24</v>
      </c>
      <c r="L58" s="4">
        <f>Table157[[#This Row],[Period]]+$E$9</f>
        <v>54</v>
      </c>
      <c r="M58" s="32">
        <f>Table157[[#This Row],[Defaulted Principal]]-Table157[[#This Row],[Estimated Loss]]</f>
        <v>3552.8</v>
      </c>
      <c r="N58" s="32">
        <f>IFERROR(VLOOKUP(Table157[[#This Row],[Period]],$L$16:$M$385,2,FALSE),0)</f>
        <v>3589.94</v>
      </c>
      <c r="O58" s="32">
        <f>Table157[[#This Row],[Beginning Balance]]-Table157[[#This Row],[Principal]]-Table157[[#This Row],[Prepayments]]-Table157[[#This Row],[Defaulted Principal]]</f>
        <v>5656492.9800000032</v>
      </c>
      <c r="P58" s="32">
        <f>Table157[[#This Row],[Principal]]+Table157[[#This Row],[Interest]]+Table157[[#This Row],[Prepayments]]+Table157[[#This Row],[RecoveredAmount]]</f>
        <v>55649.900000000009</v>
      </c>
      <c r="Q58" s="32">
        <f ca="1">ROUND(Table157[[#This Row],[Cash Flow]]/((1+ActualRateToUse)^(IF(ISNUMBER(SEARCH("Actual",$C$7)),Table157[[#This Row],[Running Total]]/365,Table157[[#This Row],[Period]]/12))),2)</f>
        <v>49179.22</v>
      </c>
      <c r="R58" s="4">
        <f>IF(MONTH(Table157[[#This Row],[Date]])=2,28,DAY(DATE(YEAR(Table157[[#This Row],[Date]]),MONTH(Table157[[#This Row],[Date]])+1,1)-1))</f>
        <v>31</v>
      </c>
      <c r="S58" s="4">
        <f ca="1">SUM(OFFSET(Table157[[#Headers],[Days in month]],1,0):Table157[[#This Row],[Days in month]])</f>
        <v>1279</v>
      </c>
      <c r="T58" s="30">
        <f>InterestRate*AmortizationMultiplier*IF(ISNUMBER(SEARCH("Actual",$C$7)),Table157[[#This Row],[Days in month]]/365,1/12)</f>
        <v>2.9708333333333331E-3</v>
      </c>
    </row>
    <row r="59" spans="2:20" x14ac:dyDescent="0.2">
      <c r="B59" s="41">
        <v>47149</v>
      </c>
      <c r="C59" s="4">
        <f t="shared" si="1"/>
        <v>43</v>
      </c>
      <c r="D59" s="32">
        <f t="shared" si="0"/>
        <v>5656492.9800000032</v>
      </c>
      <c r="E59" s="32">
        <f>ROUND(Table157[[#This Row],[Beginning Balance]]*Table157[[#This Row],[Monthly Interest Rate]],2)</f>
        <v>16804.5</v>
      </c>
      <c r="F59" s="32">
        <f t="shared" si="2"/>
        <v>213</v>
      </c>
      <c r="G59" s="45">
        <f>IFERROR(IF($C$13="No","N/A",IF(Table157[[#This Row],[Period]]=1,$C$6,PMT(InterestRate*AmortizationMultiplier/12,Table157[[#This Row],[Am Thru]],-Table157[[#This Row],[Beginning Balance]]))),0)</f>
        <v>35685.588720463325</v>
      </c>
      <c r="H59" s="32">
        <f>MAX(0,IF(C59=$C$4,D59,ROUND(IF($C$3="Fixed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18881.09</v>
      </c>
      <c r="I5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16137.97</v>
      </c>
      <c r="J5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3863.38</v>
      </c>
      <c r="K59" s="32">
        <f>ROUND(Table157[[#This Row],[Defaulted Principal]]*IF($C$9="No",$E$4,VLOOKUP(Table157[[#This Row],[Period]],[1]Forecast!$H$2:$L$1048576,3,FALSE)),2)</f>
        <v>334.93</v>
      </c>
      <c r="L59" s="4">
        <f>Table157[[#This Row],[Period]]+$E$9</f>
        <v>55</v>
      </c>
      <c r="M59" s="32">
        <f>Table157[[#This Row],[Defaulted Principal]]-Table157[[#This Row],[Estimated Loss]]</f>
        <v>3528.4500000000003</v>
      </c>
      <c r="N59" s="32">
        <f>IFERROR(VLOOKUP(Table157[[#This Row],[Period]],$L$16:$M$385,2,FALSE),0)</f>
        <v>3697.8</v>
      </c>
      <c r="O59" s="32">
        <f>Table157[[#This Row],[Beginning Balance]]-Table157[[#This Row],[Principal]]-Table157[[#This Row],[Prepayments]]-Table157[[#This Row],[Defaulted Principal]]</f>
        <v>5617610.5400000038</v>
      </c>
      <c r="P59" s="32">
        <f>Table157[[#This Row],[Principal]]+Table157[[#This Row],[Interest]]+Table157[[#This Row],[Prepayments]]+Table157[[#This Row],[RecoveredAmount]]</f>
        <v>55521.36</v>
      </c>
      <c r="Q59" s="32">
        <f ca="1">ROUND(Table157[[#This Row],[Cash Flow]]/((1+ActualRateToUse)^(IF(ISNUMBER(SEARCH("Actual",$C$7)),Table157[[#This Row],[Running Total]]/365,Table157[[#This Row],[Period]]/12))),2)</f>
        <v>48918.85</v>
      </c>
      <c r="R59" s="4">
        <f>IF(MONTH(Table157[[#This Row],[Date]])=2,28,DAY(DATE(YEAR(Table157[[#This Row],[Date]]),MONTH(Table157[[#This Row],[Date]])+1,1)-1))</f>
        <v>31</v>
      </c>
      <c r="S59" s="4">
        <f ca="1">SUM(OFFSET(Table157[[#Headers],[Days in month]],1,0):Table157[[#This Row],[Days in month]])</f>
        <v>1310</v>
      </c>
      <c r="T59" s="30">
        <f>InterestRate*AmortizationMultiplier*IF(ISNUMBER(SEARCH("Actual",$C$7)),Table157[[#This Row],[Days in month]]/365,1/12)</f>
        <v>2.9708333333333331E-3</v>
      </c>
    </row>
    <row r="60" spans="2:20" x14ac:dyDescent="0.2">
      <c r="B60" s="41">
        <v>47177</v>
      </c>
      <c r="C60" s="4">
        <f t="shared" si="1"/>
        <v>44</v>
      </c>
      <c r="D60" s="32">
        <f t="shared" si="0"/>
        <v>5617610.5400000038</v>
      </c>
      <c r="E60" s="32">
        <f>ROUND(Table157[[#This Row],[Beginning Balance]]*Table157[[#This Row],[Monthly Interest Rate]],2)</f>
        <v>15073.92</v>
      </c>
      <c r="F60" s="32">
        <f t="shared" si="2"/>
        <v>212</v>
      </c>
      <c r="G60" s="45">
        <f>IFERROR(IF($C$13="No","N/A",IF(Table157[[#This Row],[Period]]=1,$C$6,PMT(InterestRate*AmortizationMultiplier/12,Table157[[#This Row],[Am Thru]],-Table157[[#This Row],[Beginning Balance]]))),0)</f>
        <v>35560.976550027983</v>
      </c>
      <c r="H60" s="32">
        <f>MAX(0,IF(C60=$C$4,D60,ROUND(IF($C$3="Fixed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20487.060000000001</v>
      </c>
      <c r="I6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16027.04</v>
      </c>
      <c r="J6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3836.83</v>
      </c>
      <c r="K60" s="32">
        <f>ROUND(Table157[[#This Row],[Defaulted Principal]]*IF($C$9="No",$E$4,VLOOKUP(Table157[[#This Row],[Period]],[1]Forecast!$H$2:$L$1048576,3,FALSE)),2)</f>
        <v>332.63</v>
      </c>
      <c r="L60" s="4">
        <f>Table157[[#This Row],[Period]]+$E$9</f>
        <v>56</v>
      </c>
      <c r="M60" s="32">
        <f>Table157[[#This Row],[Defaulted Principal]]-Table157[[#This Row],[Estimated Loss]]</f>
        <v>3504.2</v>
      </c>
      <c r="N60" s="32">
        <f>IFERROR(VLOOKUP(Table157[[#This Row],[Period]],$L$16:$M$385,2,FALSE),0)</f>
        <v>3673.37</v>
      </c>
      <c r="O60" s="32">
        <f>Table157[[#This Row],[Beginning Balance]]-Table157[[#This Row],[Principal]]-Table157[[#This Row],[Prepayments]]-Table157[[#This Row],[Defaulted Principal]]</f>
        <v>5577259.6100000041</v>
      </c>
      <c r="P60" s="32">
        <f>Table157[[#This Row],[Principal]]+Table157[[#This Row],[Interest]]+Table157[[#This Row],[Prepayments]]+Table157[[#This Row],[RecoveredAmount]]</f>
        <v>55261.390000000007</v>
      </c>
      <c r="Q60" s="32">
        <f ca="1">ROUND(Table157[[#This Row],[Cash Flow]]/((1+ActualRateToUse)^(IF(ISNUMBER(SEARCH("Actual",$C$7)),Table157[[#This Row],[Running Total]]/365,Table157[[#This Row],[Period]]/12))),2)</f>
        <v>48558.22</v>
      </c>
      <c r="R60" s="4">
        <f>IF(MONTH(Table157[[#This Row],[Date]])=2,28,DAY(DATE(YEAR(Table157[[#This Row],[Date]]),MONTH(Table157[[#This Row],[Date]])+1,1)-1))</f>
        <v>28</v>
      </c>
      <c r="S60" s="4">
        <f ca="1">SUM(OFFSET(Table157[[#Headers],[Days in month]],1,0):Table157[[#This Row],[Days in month]])</f>
        <v>1338</v>
      </c>
      <c r="T60" s="30">
        <f>InterestRate*AmortizationMultiplier*IF(ISNUMBER(SEARCH("Actual",$C$7)),Table157[[#This Row],[Days in month]]/365,1/12)</f>
        <v>2.6833333333333336E-3</v>
      </c>
    </row>
    <row r="61" spans="2:20" x14ac:dyDescent="0.2">
      <c r="B61" s="41">
        <v>47208</v>
      </c>
      <c r="C61" s="4">
        <f t="shared" si="1"/>
        <v>45</v>
      </c>
      <c r="D61" s="32">
        <f t="shared" si="0"/>
        <v>5577259.6100000041</v>
      </c>
      <c r="E61" s="32">
        <f>ROUND(Table157[[#This Row],[Beginning Balance]]*Table157[[#This Row],[Monthly Interest Rate]],2)</f>
        <v>16569.11</v>
      </c>
      <c r="F61" s="32">
        <f t="shared" si="2"/>
        <v>211</v>
      </c>
      <c r="G61" s="45">
        <f>IFERROR(IF($C$13="No","N/A",IF(Table157[[#This Row],[Period]]=1,$C$6,PMT(InterestRate*AmortizationMultiplier/12,Table157[[#This Row],[Am Thru]],-Table157[[#This Row],[Beginning Balance]]))),0)</f>
        <v>35426.53793384396</v>
      </c>
      <c r="H61" s="32">
        <f>MAX(0,IF(C61=$C$4,D61,ROUND(IF($C$3="Fixed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18857.43</v>
      </c>
      <c r="I6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15911.92</v>
      </c>
      <c r="J6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3809.27</v>
      </c>
      <c r="K61" s="32">
        <f>ROUND(Table157[[#This Row],[Defaulted Principal]]*IF($C$9="No",$E$4,VLOOKUP(Table157[[#This Row],[Period]],[1]Forecast!$H$2:$L$1048576,3,FALSE)),2)</f>
        <v>330.24</v>
      </c>
      <c r="L61" s="4">
        <f>Table157[[#This Row],[Period]]+$E$9</f>
        <v>57</v>
      </c>
      <c r="M61" s="32">
        <f>Table157[[#This Row],[Defaulted Principal]]-Table157[[#This Row],[Estimated Loss]]</f>
        <v>3479.0299999999997</v>
      </c>
      <c r="N61" s="32">
        <f>IFERROR(VLOOKUP(Table157[[#This Row],[Period]],$L$16:$M$385,2,FALSE),0)</f>
        <v>3647.97</v>
      </c>
      <c r="O61" s="32">
        <f>Table157[[#This Row],[Beginning Balance]]-Table157[[#This Row],[Principal]]-Table157[[#This Row],[Prepayments]]-Table157[[#This Row],[Defaulted Principal]]</f>
        <v>5538680.9900000049</v>
      </c>
      <c r="P61" s="32">
        <f>Table157[[#This Row],[Principal]]+Table157[[#This Row],[Interest]]+Table157[[#This Row],[Prepayments]]+Table157[[#This Row],[RecoveredAmount]]</f>
        <v>54986.43</v>
      </c>
      <c r="Q61" s="32">
        <f ca="1">ROUND(Table157[[#This Row],[Cash Flow]]/((1+ActualRateToUse)^(IF(ISNUMBER(SEARCH("Actual",$C$7)),Table157[[#This Row],[Running Total]]/365,Table157[[#This Row],[Period]]/12))),2)</f>
        <v>48172.07</v>
      </c>
      <c r="R61" s="4">
        <f>IF(MONTH(Table157[[#This Row],[Date]])=2,28,DAY(DATE(YEAR(Table157[[#This Row],[Date]]),MONTH(Table157[[#This Row],[Date]])+1,1)-1))</f>
        <v>31</v>
      </c>
      <c r="S61" s="4">
        <f ca="1">SUM(OFFSET(Table157[[#Headers],[Days in month]],1,0):Table157[[#This Row],[Days in month]])</f>
        <v>1369</v>
      </c>
      <c r="T61" s="30">
        <f>InterestRate*AmortizationMultiplier*IF(ISNUMBER(SEARCH("Actual",$C$7)),Table157[[#This Row],[Days in month]]/365,1/12)</f>
        <v>2.9708333333333331E-3</v>
      </c>
    </row>
    <row r="62" spans="2:20" x14ac:dyDescent="0.2">
      <c r="B62" s="41">
        <v>47238</v>
      </c>
      <c r="C62" s="4">
        <f t="shared" si="1"/>
        <v>46</v>
      </c>
      <c r="D62" s="32">
        <f t="shared" si="0"/>
        <v>5538680.9900000049</v>
      </c>
      <c r="E62" s="32">
        <f>ROUND(Table157[[#This Row],[Beginning Balance]]*Table157[[#This Row],[Monthly Interest Rate]],2)</f>
        <v>15923.71</v>
      </c>
      <c r="F62" s="32">
        <f t="shared" si="2"/>
        <v>210</v>
      </c>
      <c r="G62" s="45">
        <f>IFERROR(IF($C$13="No","N/A",IF(Table157[[#This Row],[Period]]=1,$C$6,PMT(InterestRate*AmortizationMultiplier/12,Table157[[#This Row],[Am Thru]],-Table157[[#This Row],[Beginning Balance]]))),0)</f>
        <v>35302.82492680633</v>
      </c>
      <c r="H62" s="32">
        <f>MAX(0,IF(C62=$C$4,D62,ROUND(IF($C$3="Fixed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19379.11</v>
      </c>
      <c r="I6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15801.86</v>
      </c>
      <c r="J6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3782.92</v>
      </c>
      <c r="K62" s="32">
        <f>ROUND(Table157[[#This Row],[Defaulted Principal]]*IF($C$9="No",$E$4,VLOOKUP(Table157[[#This Row],[Period]],[1]Forecast!$H$2:$L$1048576,3,FALSE)),2)</f>
        <v>327.96</v>
      </c>
      <c r="L62" s="4">
        <f>Table157[[#This Row],[Period]]+$E$9</f>
        <v>58</v>
      </c>
      <c r="M62" s="32">
        <f>Table157[[#This Row],[Defaulted Principal]]-Table157[[#This Row],[Estimated Loss]]</f>
        <v>3454.96</v>
      </c>
      <c r="N62" s="32">
        <f>IFERROR(VLOOKUP(Table157[[#This Row],[Period]],$L$16:$M$385,2,FALSE),0)</f>
        <v>3752.35</v>
      </c>
      <c r="O62" s="32">
        <f>Table157[[#This Row],[Beginning Balance]]-Table157[[#This Row],[Principal]]-Table157[[#This Row],[Prepayments]]-Table157[[#This Row],[Defaulted Principal]]</f>
        <v>5499717.1000000043</v>
      </c>
      <c r="P62" s="32">
        <f>Table157[[#This Row],[Principal]]+Table157[[#This Row],[Interest]]+Table157[[#This Row],[Prepayments]]+Table157[[#This Row],[RecoveredAmount]]</f>
        <v>54857.03</v>
      </c>
      <c r="Q62" s="32">
        <f ca="1">ROUND(Table157[[#This Row],[Cash Flow]]/((1+ActualRateToUse)^(IF(ISNUMBER(SEARCH("Actual",$C$7)),Table157[[#This Row],[Running Total]]/365,Table157[[#This Row],[Period]]/12))),2)</f>
        <v>47919.57</v>
      </c>
      <c r="R62" s="4">
        <f>IF(MONTH(Table157[[#This Row],[Date]])=2,28,DAY(DATE(YEAR(Table157[[#This Row],[Date]]),MONTH(Table157[[#This Row],[Date]])+1,1)-1))</f>
        <v>30</v>
      </c>
      <c r="S62" s="4">
        <f ca="1">SUM(OFFSET(Table157[[#Headers],[Days in month]],1,0):Table157[[#This Row],[Days in month]])</f>
        <v>1399</v>
      </c>
      <c r="T62" s="30">
        <f>InterestRate*AmortizationMultiplier*IF(ISNUMBER(SEARCH("Actual",$C$7)),Table157[[#This Row],[Days in month]]/365,1/12)</f>
        <v>2.8749999999999995E-3</v>
      </c>
    </row>
    <row r="63" spans="2:20" x14ac:dyDescent="0.2">
      <c r="B63" s="41">
        <v>47269</v>
      </c>
      <c r="C63" s="4">
        <f t="shared" si="1"/>
        <v>47</v>
      </c>
      <c r="D63" s="32">
        <f t="shared" si="0"/>
        <v>5499717.1000000043</v>
      </c>
      <c r="E63" s="32">
        <f>ROUND(Table157[[#This Row],[Beginning Balance]]*Table157[[#This Row],[Monthly Interest Rate]],2)</f>
        <v>16338.74</v>
      </c>
      <c r="F63" s="32">
        <f t="shared" si="2"/>
        <v>209</v>
      </c>
      <c r="G63" s="45">
        <f>IFERROR(IF($C$13="No","N/A",IF(Table157[[#This Row],[Period]]=1,$C$6,PMT(InterestRate*AmortizationMultiplier/12,Table157[[#This Row],[Am Thru]],-Table157[[#This Row],[Beginning Balance]]))),0)</f>
        <v>35176.146322519198</v>
      </c>
      <c r="H63" s="32">
        <f>MAX(0,IF(C63=$C$4,D63,ROUND(IF($C$3="Fixed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18837.41</v>
      </c>
      <c r="I6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15690.69</v>
      </c>
      <c r="J6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3756.31</v>
      </c>
      <c r="K63" s="32">
        <f>ROUND(Table157[[#This Row],[Defaulted Principal]]*IF($C$9="No",$E$4,VLOOKUP(Table157[[#This Row],[Period]],[1]Forecast!$H$2:$L$1048576,3,FALSE)),2)</f>
        <v>325.64999999999998</v>
      </c>
      <c r="L63" s="4">
        <f>Table157[[#This Row],[Period]]+$E$9</f>
        <v>59</v>
      </c>
      <c r="M63" s="32">
        <f>Table157[[#This Row],[Defaulted Principal]]-Table157[[#This Row],[Estimated Loss]]</f>
        <v>3430.66</v>
      </c>
      <c r="N63" s="32">
        <f>IFERROR(VLOOKUP(Table157[[#This Row],[Period]],$L$16:$M$385,2,FALSE),0)</f>
        <v>3726.9</v>
      </c>
      <c r="O63" s="32">
        <f>Table157[[#This Row],[Beginning Balance]]-Table157[[#This Row],[Principal]]-Table157[[#This Row],[Prepayments]]-Table157[[#This Row],[Defaulted Principal]]</f>
        <v>5461432.6900000041</v>
      </c>
      <c r="P63" s="32">
        <f>Table157[[#This Row],[Principal]]+Table157[[#This Row],[Interest]]+Table157[[#This Row],[Prepayments]]+Table157[[#This Row],[RecoveredAmount]]</f>
        <v>54593.740000000005</v>
      </c>
      <c r="Q63" s="32">
        <f ca="1">ROUND(Table157[[#This Row],[Cash Flow]]/((1+ActualRateToUse)^(IF(ISNUMBER(SEARCH("Actual",$C$7)),Table157[[#This Row],[Running Total]]/365,Table157[[#This Row],[Period]]/12))),2)</f>
        <v>47546.91</v>
      </c>
      <c r="R63" s="4">
        <f>IF(MONTH(Table157[[#This Row],[Date]])=2,28,DAY(DATE(YEAR(Table157[[#This Row],[Date]]),MONTH(Table157[[#This Row],[Date]])+1,1)-1))</f>
        <v>31</v>
      </c>
      <c r="S63" s="4">
        <f ca="1">SUM(OFFSET(Table157[[#Headers],[Days in month]],1,0):Table157[[#This Row],[Days in month]])</f>
        <v>1430</v>
      </c>
      <c r="T63" s="30">
        <f>InterestRate*AmortizationMultiplier*IF(ISNUMBER(SEARCH("Actual",$C$7)),Table157[[#This Row],[Days in month]]/365,1/12)</f>
        <v>2.9708333333333331E-3</v>
      </c>
    </row>
    <row r="64" spans="2:20" x14ac:dyDescent="0.2">
      <c r="B64" s="41">
        <v>47299</v>
      </c>
      <c r="C64" s="4">
        <f t="shared" si="1"/>
        <v>48</v>
      </c>
      <c r="D64" s="32">
        <f t="shared" si="0"/>
        <v>5461432.6900000041</v>
      </c>
      <c r="E64" s="32">
        <f>ROUND(Table157[[#This Row],[Beginning Balance]]*Table157[[#This Row],[Monthly Interest Rate]],2)</f>
        <v>15701.62</v>
      </c>
      <c r="F64" s="32">
        <f t="shared" si="2"/>
        <v>208</v>
      </c>
      <c r="G64" s="45">
        <f>IFERROR(IF($C$13="No","N/A",IF(Table157[[#This Row],[Period]]=1,$C$6,PMT(InterestRate*AmortizationMultiplier/12,Table157[[#This Row],[Am Thru]],-Table157[[#This Row],[Beginning Balance]]))),0)</f>
        <v>35053.30224151555</v>
      </c>
      <c r="H64" s="32">
        <f>MAX(0,IF(C64=$C$4,D64,ROUND(IF($C$3="Fixed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19351.68</v>
      </c>
      <c r="I6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15581.47</v>
      </c>
      <c r="J6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3730.16</v>
      </c>
      <c r="K64" s="32">
        <f>ROUND(Table157[[#This Row],[Defaulted Principal]]*IF($C$9="No",$E$4,VLOOKUP(Table157[[#This Row],[Period]],[1]Forecast!$H$2:$L$1048576,3,FALSE)),2)</f>
        <v>323.38</v>
      </c>
      <c r="L64" s="4">
        <f>Table157[[#This Row],[Period]]+$E$9</f>
        <v>60</v>
      </c>
      <c r="M64" s="32">
        <f>Table157[[#This Row],[Defaulted Principal]]-Table157[[#This Row],[Estimated Loss]]</f>
        <v>3406.7799999999997</v>
      </c>
      <c r="N64" s="32">
        <f>IFERROR(VLOOKUP(Table157[[#This Row],[Period]],$L$16:$M$385,2,FALSE),0)</f>
        <v>3701.89</v>
      </c>
      <c r="O64" s="32">
        <f>Table157[[#This Row],[Beginning Balance]]-Table157[[#This Row],[Principal]]-Table157[[#This Row],[Prepayments]]-Table157[[#This Row],[Defaulted Principal]]</f>
        <v>5422769.3800000045</v>
      </c>
      <c r="P64" s="32">
        <f>Table157[[#This Row],[Principal]]+Table157[[#This Row],[Interest]]+Table157[[#This Row],[Prepayments]]+Table157[[#This Row],[RecoveredAmount]]</f>
        <v>54336.66</v>
      </c>
      <c r="Q64" s="32">
        <f ca="1">ROUND(Table157[[#This Row],[Cash Flow]]/((1+ActualRateToUse)^(IF(ISNUMBER(SEARCH("Actual",$C$7)),Table157[[#This Row],[Running Total]]/365,Table157[[#This Row],[Period]]/12))),2)</f>
        <v>47186.01</v>
      </c>
      <c r="R64" s="4">
        <f>IF(MONTH(Table157[[#This Row],[Date]])=2,28,DAY(DATE(YEAR(Table157[[#This Row],[Date]]),MONTH(Table157[[#This Row],[Date]])+1,1)-1))</f>
        <v>30</v>
      </c>
      <c r="S64" s="4">
        <f ca="1">SUM(OFFSET(Table157[[#Headers],[Days in month]],1,0):Table157[[#This Row],[Days in month]])</f>
        <v>1460</v>
      </c>
      <c r="T64" s="30">
        <f>InterestRate*AmortizationMultiplier*IF(ISNUMBER(SEARCH("Actual",$C$7)),Table157[[#This Row],[Days in month]]/365,1/12)</f>
        <v>2.8749999999999995E-3</v>
      </c>
    </row>
    <row r="65" spans="2:20" x14ac:dyDescent="0.2">
      <c r="B65" s="41">
        <v>47330</v>
      </c>
      <c r="C65" s="4">
        <f t="shared" si="1"/>
        <v>49</v>
      </c>
      <c r="D65" s="32">
        <f t="shared" si="0"/>
        <v>5422769.3800000045</v>
      </c>
      <c r="E65" s="32">
        <f>ROUND(Table157[[#This Row],[Beginning Balance]]*Table157[[#This Row],[Monthly Interest Rate]],2)</f>
        <v>16110.14</v>
      </c>
      <c r="F65" s="32">
        <f t="shared" si="2"/>
        <v>207</v>
      </c>
      <c r="G65" s="45">
        <f>IFERROR(IF($C$13="No","N/A",IF(Table157[[#This Row],[Period]]=1,$C$6,PMT(InterestRate*AmortizationMultiplier/12,Table157[[#This Row],[Am Thru]],-Table157[[#This Row],[Beginning Balance]]))),0)</f>
        <v>34927.513372913338</v>
      </c>
      <c r="H65" s="32">
        <f>MAX(0,IF(C65=$C$4,D65,ROUND(IF($C$3="Fixed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18817.37</v>
      </c>
      <c r="I6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15471.16</v>
      </c>
      <c r="J6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3703.75</v>
      </c>
      <c r="K65" s="32">
        <f>ROUND(Table157[[#This Row],[Defaulted Principal]]*IF($C$9="No",$E$4,VLOOKUP(Table157[[#This Row],[Period]],[1]Forecast!$H$2:$L$1048576,3,FALSE)),2)</f>
        <v>321.08999999999997</v>
      </c>
      <c r="L65" s="4">
        <f>Table157[[#This Row],[Period]]+$E$9</f>
        <v>61</v>
      </c>
      <c r="M65" s="32">
        <f>Table157[[#This Row],[Defaulted Principal]]-Table157[[#This Row],[Estimated Loss]]</f>
        <v>3382.66</v>
      </c>
      <c r="N65" s="32">
        <f>IFERROR(VLOOKUP(Table157[[#This Row],[Period]],$L$16:$M$385,2,FALSE),0)</f>
        <v>3676.62</v>
      </c>
      <c r="O65" s="32">
        <f>Table157[[#This Row],[Beginning Balance]]-Table157[[#This Row],[Principal]]-Table157[[#This Row],[Prepayments]]-Table157[[#This Row],[Defaulted Principal]]</f>
        <v>5384777.1000000043</v>
      </c>
      <c r="P65" s="32">
        <f>Table157[[#This Row],[Principal]]+Table157[[#This Row],[Interest]]+Table157[[#This Row],[Prepayments]]+Table157[[#This Row],[RecoveredAmount]]</f>
        <v>54075.29</v>
      </c>
      <c r="Q65" s="32">
        <f ca="1">ROUND(Table157[[#This Row],[Cash Flow]]/((1+ActualRateToUse)^(IF(ISNUMBER(SEARCH("Actual",$C$7)),Table157[[#This Row],[Running Total]]/365,Table157[[#This Row],[Period]]/12))),2)</f>
        <v>46818.55</v>
      </c>
      <c r="R65" s="4">
        <f>IF(MONTH(Table157[[#This Row],[Date]])=2,28,DAY(DATE(YEAR(Table157[[#This Row],[Date]]),MONTH(Table157[[#This Row],[Date]])+1,1)-1))</f>
        <v>31</v>
      </c>
      <c r="S65" s="4">
        <f ca="1">SUM(OFFSET(Table157[[#Headers],[Days in month]],1,0):Table157[[#This Row],[Days in month]])</f>
        <v>1491</v>
      </c>
      <c r="T65" s="30">
        <f>InterestRate*AmortizationMultiplier*IF(ISNUMBER(SEARCH("Actual",$C$7)),Table157[[#This Row],[Days in month]]/365,1/12)</f>
        <v>2.9708333333333331E-3</v>
      </c>
    </row>
    <row r="66" spans="2:20" x14ac:dyDescent="0.2">
      <c r="B66" s="41">
        <v>47361</v>
      </c>
      <c r="C66" s="4">
        <f t="shared" si="1"/>
        <v>50</v>
      </c>
      <c r="D66" s="32">
        <f t="shared" si="0"/>
        <v>5384777.1000000043</v>
      </c>
      <c r="E66" s="32">
        <f>ROUND(Table157[[#This Row],[Beginning Balance]]*Table157[[#This Row],[Monthly Interest Rate]],2)</f>
        <v>15997.28</v>
      </c>
      <c r="F66" s="32">
        <f t="shared" si="2"/>
        <v>206</v>
      </c>
      <c r="G66" s="45">
        <f>IFERROR(IF($C$13="No","N/A",IF(Table157[[#This Row],[Period]]=1,$C$6,PMT(InterestRate*AmortizationMultiplier/12,Table157[[#This Row],[Am Thru]],-Table157[[#This Row],[Beginning Balance]]))),0)</f>
        <v>34805.532140619063</v>
      </c>
      <c r="H66" s="32">
        <f>MAX(0,IF(C66=$C$4,D66,ROUND(IF($C$3="Fixed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18808.25</v>
      </c>
      <c r="I6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15362.77</v>
      </c>
      <c r="J6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3677.8</v>
      </c>
      <c r="K66" s="32">
        <f>ROUND(Table157[[#This Row],[Defaulted Principal]]*IF($C$9="No",$E$4,VLOOKUP(Table157[[#This Row],[Period]],[1]Forecast!$H$2:$L$1048576,3,FALSE)),2)</f>
        <v>318.83999999999997</v>
      </c>
      <c r="L66" s="4">
        <f>Table157[[#This Row],[Period]]+$E$9</f>
        <v>62</v>
      </c>
      <c r="M66" s="32">
        <f>Table157[[#This Row],[Defaulted Principal]]-Table157[[#This Row],[Estimated Loss]]</f>
        <v>3358.96</v>
      </c>
      <c r="N66" s="32">
        <f>IFERROR(VLOOKUP(Table157[[#This Row],[Period]],$L$16:$M$385,2,FALSE),0)</f>
        <v>3651.81</v>
      </c>
      <c r="O66" s="32">
        <f>Table157[[#This Row],[Beginning Balance]]-Table157[[#This Row],[Principal]]-Table157[[#This Row],[Prepayments]]-Table157[[#This Row],[Defaulted Principal]]</f>
        <v>5346928.2800000049</v>
      </c>
      <c r="P66" s="32">
        <f>Table157[[#This Row],[Principal]]+Table157[[#This Row],[Interest]]+Table157[[#This Row],[Prepayments]]+Table157[[#This Row],[RecoveredAmount]]</f>
        <v>53820.11</v>
      </c>
      <c r="Q66" s="32">
        <f ca="1">ROUND(Table157[[#This Row],[Cash Flow]]/((1+ActualRateToUse)^(IF(ISNUMBER(SEARCH("Actual",$C$7)),Table157[[#This Row],[Running Total]]/365,Table157[[#This Row],[Period]]/12))),2)</f>
        <v>46458.22</v>
      </c>
      <c r="R66" s="4">
        <f>IF(MONTH(Table157[[#This Row],[Date]])=2,28,DAY(DATE(YEAR(Table157[[#This Row],[Date]]),MONTH(Table157[[#This Row],[Date]])+1,1)-1))</f>
        <v>31</v>
      </c>
      <c r="S66" s="4">
        <f ca="1">SUM(OFFSET(Table157[[#Headers],[Days in month]],1,0):Table157[[#This Row],[Days in month]])</f>
        <v>1522</v>
      </c>
      <c r="T66" s="30">
        <f>InterestRate*AmortizationMultiplier*IF(ISNUMBER(SEARCH("Actual",$C$7)),Table157[[#This Row],[Days in month]]/365,1/12)</f>
        <v>2.9708333333333331E-3</v>
      </c>
    </row>
    <row r="67" spans="2:20" x14ac:dyDescent="0.2">
      <c r="B67" s="41">
        <v>47391</v>
      </c>
      <c r="C67" s="4">
        <f t="shared" si="1"/>
        <v>51</v>
      </c>
      <c r="D67" s="32">
        <f t="shared" si="0"/>
        <v>5346928.2800000049</v>
      </c>
      <c r="E67" s="32">
        <f>ROUND(Table157[[#This Row],[Beginning Balance]]*Table157[[#This Row],[Monthly Interest Rate]],2)</f>
        <v>15372.42</v>
      </c>
      <c r="F67" s="32">
        <f t="shared" si="2"/>
        <v>205</v>
      </c>
      <c r="G67" s="45">
        <f>IFERROR(IF($C$13="No","N/A",IF(Table157[[#This Row],[Period]]=1,$C$6,PMT(InterestRate*AmortizationMultiplier/12,Table157[[#This Row],[Am Thru]],-Table157[[#This Row],[Beginning Balance]]))),0)</f>
        <v>34683.974180897872</v>
      </c>
      <c r="H67" s="32">
        <f>MAX(0,IF(C67=$C$4,D67,ROUND(IF($C$3="Fixed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19311.55</v>
      </c>
      <c r="I6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15254.79</v>
      </c>
      <c r="J6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3651.95</v>
      </c>
      <c r="K67" s="32">
        <f>ROUND(Table157[[#This Row],[Defaulted Principal]]*IF($C$9="No",$E$4,VLOOKUP(Table157[[#This Row],[Period]],[1]Forecast!$H$2:$L$1048576,3,FALSE)),2)</f>
        <v>316.60000000000002</v>
      </c>
      <c r="L67" s="4">
        <f>Table157[[#This Row],[Period]]+$E$9</f>
        <v>63</v>
      </c>
      <c r="M67" s="32">
        <f>Table157[[#This Row],[Defaulted Principal]]-Table157[[#This Row],[Estimated Loss]]</f>
        <v>3335.35</v>
      </c>
      <c r="N67" s="32">
        <f>IFERROR(VLOOKUP(Table157[[#This Row],[Period]],$L$16:$M$385,2,FALSE),0)</f>
        <v>3627.0899999999997</v>
      </c>
      <c r="O67" s="32">
        <f>Table157[[#This Row],[Beginning Balance]]-Table157[[#This Row],[Principal]]-Table157[[#This Row],[Prepayments]]-Table157[[#This Row],[Defaulted Principal]]</f>
        <v>5308709.9900000049</v>
      </c>
      <c r="P67" s="32">
        <f>Table157[[#This Row],[Principal]]+Table157[[#This Row],[Interest]]+Table157[[#This Row],[Prepayments]]+Table157[[#This Row],[RecoveredAmount]]</f>
        <v>53565.85</v>
      </c>
      <c r="Q67" s="32">
        <f ca="1">ROUND(Table157[[#This Row],[Cash Flow]]/((1+ActualRateToUse)^(IF(ISNUMBER(SEARCH("Actual",$C$7)),Table157[[#This Row],[Running Total]]/365,Table157[[#This Row],[Period]]/12))),2)</f>
        <v>46104.87</v>
      </c>
      <c r="R67" s="4">
        <f>IF(MONTH(Table157[[#This Row],[Date]])=2,28,DAY(DATE(YEAR(Table157[[#This Row],[Date]]),MONTH(Table157[[#This Row],[Date]])+1,1)-1))</f>
        <v>30</v>
      </c>
      <c r="S67" s="4">
        <f ca="1">SUM(OFFSET(Table157[[#Headers],[Days in month]],1,0):Table157[[#This Row],[Days in month]])</f>
        <v>1552</v>
      </c>
      <c r="T67" s="30">
        <f>InterestRate*AmortizationMultiplier*IF(ISNUMBER(SEARCH("Actual",$C$7)),Table157[[#This Row],[Days in month]]/365,1/12)</f>
        <v>2.8749999999999995E-3</v>
      </c>
    </row>
    <row r="68" spans="2:20" x14ac:dyDescent="0.2">
      <c r="B68" s="41">
        <v>47422</v>
      </c>
      <c r="C68" s="4">
        <f t="shared" si="1"/>
        <v>52</v>
      </c>
      <c r="D68" s="32">
        <f t="shared" si="0"/>
        <v>5308709.9900000049</v>
      </c>
      <c r="E68" s="32">
        <f>ROUND(Table157[[#This Row],[Beginning Balance]]*Table157[[#This Row],[Monthly Interest Rate]],2)</f>
        <v>15771.29</v>
      </c>
      <c r="F68" s="32">
        <f t="shared" si="2"/>
        <v>204</v>
      </c>
      <c r="G68" s="45">
        <f>IFERROR(IF($C$13="No","N/A",IF(Table157[[#This Row],[Period]]=1,$C$6,PMT(InterestRate*AmortizationMultiplier/12,Table157[[#This Row],[Am Thru]],-Table157[[#This Row],[Beginning Balance]]))),0)</f>
        <v>34559.502135600036</v>
      </c>
      <c r="H68" s="32">
        <f>MAX(0,IF(C68=$C$4,D68,ROUND(IF($C$3="Fixed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18788.21</v>
      </c>
      <c r="I6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15145.75</v>
      </c>
      <c r="J6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3625.85</v>
      </c>
      <c r="K68" s="32">
        <f>ROUND(Table157[[#This Row],[Defaulted Principal]]*IF($C$9="No",$E$4,VLOOKUP(Table157[[#This Row],[Period]],[1]Forecast!$H$2:$L$1048576,3,FALSE)),2)</f>
        <v>314.33999999999997</v>
      </c>
      <c r="L68" s="4">
        <f>Table157[[#This Row],[Period]]+$E$9</f>
        <v>64</v>
      </c>
      <c r="M68" s="32">
        <f>Table157[[#This Row],[Defaulted Principal]]-Table157[[#This Row],[Estimated Loss]]</f>
        <v>3311.5099999999998</v>
      </c>
      <c r="N68" s="32">
        <f>IFERROR(VLOOKUP(Table157[[#This Row],[Period]],$L$16:$M$385,2,FALSE),0)</f>
        <v>3602.12</v>
      </c>
      <c r="O68" s="32">
        <f>Table157[[#This Row],[Beginning Balance]]-Table157[[#This Row],[Principal]]-Table157[[#This Row],[Prepayments]]-Table157[[#This Row],[Defaulted Principal]]</f>
        <v>5271150.1800000053</v>
      </c>
      <c r="P68" s="32">
        <f>Table157[[#This Row],[Principal]]+Table157[[#This Row],[Interest]]+Table157[[#This Row],[Prepayments]]+Table157[[#This Row],[RecoveredAmount]]</f>
        <v>53307.37</v>
      </c>
      <c r="Q68" s="32">
        <f ca="1">ROUND(Table157[[#This Row],[Cash Flow]]/((1+ActualRateToUse)^(IF(ISNUMBER(SEARCH("Actual",$C$7)),Table157[[#This Row],[Running Total]]/365,Table157[[#This Row],[Period]]/12))),2)</f>
        <v>45745.14</v>
      </c>
      <c r="R68" s="4">
        <f>IF(MONTH(Table157[[#This Row],[Date]])=2,28,DAY(DATE(YEAR(Table157[[#This Row],[Date]]),MONTH(Table157[[#This Row],[Date]])+1,1)-1))</f>
        <v>31</v>
      </c>
      <c r="S68" s="4">
        <f ca="1">SUM(OFFSET(Table157[[#Headers],[Days in month]],1,0):Table157[[#This Row],[Days in month]])</f>
        <v>1583</v>
      </c>
      <c r="T68" s="30">
        <f>InterestRate*AmortizationMultiplier*IF(ISNUMBER(SEARCH("Actual",$C$7)),Table157[[#This Row],[Days in month]]/365,1/12)</f>
        <v>2.9708333333333331E-3</v>
      </c>
    </row>
    <row r="69" spans="2:20" x14ac:dyDescent="0.2">
      <c r="B69" s="41">
        <v>47452</v>
      </c>
      <c r="C69" s="4">
        <f t="shared" si="1"/>
        <v>53</v>
      </c>
      <c r="D69" s="32">
        <f t="shared" si="0"/>
        <v>5271150.1800000053</v>
      </c>
      <c r="E69" s="32">
        <f>ROUND(Table157[[#This Row],[Beginning Balance]]*Table157[[#This Row],[Monthly Interest Rate]],2)</f>
        <v>15154.56</v>
      </c>
      <c r="F69" s="32">
        <f t="shared" si="2"/>
        <v>203</v>
      </c>
      <c r="G69" s="45">
        <f>IFERROR(IF($C$13="No","N/A",IF(Table157[[#This Row],[Period]]=1,$C$6,PMT(InterestRate*AmortizationMultiplier/12,Table157[[#This Row],[Am Thru]],-Table157[[#This Row],[Beginning Balance]]))),0)</f>
        <v>34438.797759550413</v>
      </c>
      <c r="H69" s="32">
        <f>MAX(0,IF(C69=$C$4,D69,ROUND(IF($C$3="Fixed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19284.240000000002</v>
      </c>
      <c r="I6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15038.59</v>
      </c>
      <c r="J6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3600.2</v>
      </c>
      <c r="K69" s="32">
        <f>ROUND(Table157[[#This Row],[Defaulted Principal]]*IF($C$9="No",$E$4,VLOOKUP(Table157[[#This Row],[Period]],[1]Forecast!$H$2:$L$1048576,3,FALSE)),2)</f>
        <v>312.12</v>
      </c>
      <c r="L69" s="4">
        <f>Table157[[#This Row],[Period]]+$E$9</f>
        <v>65</v>
      </c>
      <c r="M69" s="32">
        <f>Table157[[#This Row],[Defaulted Principal]]-Table157[[#This Row],[Estimated Loss]]</f>
        <v>3288.08</v>
      </c>
      <c r="N69" s="32">
        <f>IFERROR(VLOOKUP(Table157[[#This Row],[Period]],$L$16:$M$385,2,FALSE),0)</f>
        <v>3577.58</v>
      </c>
      <c r="O69" s="32">
        <f>Table157[[#This Row],[Beginning Balance]]-Table157[[#This Row],[Principal]]-Table157[[#This Row],[Prepayments]]-Table157[[#This Row],[Defaulted Principal]]</f>
        <v>5233227.150000005</v>
      </c>
      <c r="P69" s="32">
        <f>Table157[[#This Row],[Principal]]+Table157[[#This Row],[Interest]]+Table157[[#This Row],[Prepayments]]+Table157[[#This Row],[RecoveredAmount]]</f>
        <v>53054.97</v>
      </c>
      <c r="Q69" s="32">
        <f ca="1">ROUND(Table157[[#This Row],[Cash Flow]]/((1+ActualRateToUse)^(IF(ISNUMBER(SEARCH("Actual",$C$7)),Table157[[#This Row],[Running Total]]/365,Table157[[#This Row],[Period]]/12))),2)</f>
        <v>45396.73</v>
      </c>
      <c r="R69" s="4">
        <f>IF(MONTH(Table157[[#This Row],[Date]])=2,28,DAY(DATE(YEAR(Table157[[#This Row],[Date]]),MONTH(Table157[[#This Row],[Date]])+1,1)-1))</f>
        <v>30</v>
      </c>
      <c r="S69" s="4">
        <f ca="1">SUM(OFFSET(Table157[[#Headers],[Days in month]],1,0):Table157[[#This Row],[Days in month]])</f>
        <v>1613</v>
      </c>
      <c r="T69" s="30">
        <f>InterestRate*AmortizationMultiplier*IF(ISNUMBER(SEARCH("Actual",$C$7)),Table157[[#This Row],[Days in month]]/365,1/12)</f>
        <v>2.8749999999999995E-3</v>
      </c>
    </row>
    <row r="70" spans="2:20" x14ac:dyDescent="0.2">
      <c r="B70" s="41">
        <v>47483</v>
      </c>
      <c r="C70" s="4">
        <f t="shared" si="1"/>
        <v>54</v>
      </c>
      <c r="D70" s="32">
        <f t="shared" si="0"/>
        <v>5233227.150000005</v>
      </c>
      <c r="E70" s="32">
        <f>ROUND(Table157[[#This Row],[Beginning Balance]]*Table157[[#This Row],[Monthly Interest Rate]],2)</f>
        <v>15547.05</v>
      </c>
      <c r="F70" s="32">
        <f t="shared" si="2"/>
        <v>202</v>
      </c>
      <c r="G70" s="45">
        <f>IFERROR(IF($C$13="No","N/A",IF(Table157[[#This Row],[Period]]=1,$C$6,PMT(InterestRate*AmortizationMultiplier/12,Table157[[#This Row],[Am Thru]],-Table157[[#This Row],[Beginning Balance]]))),0)</f>
        <v>34315.19975564663</v>
      </c>
      <c r="H70" s="32">
        <f>MAX(0,IF(C70=$C$4,D70,ROUND(IF($C$3="Fixed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18768.150000000001</v>
      </c>
      <c r="I7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14930.4</v>
      </c>
      <c r="J7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3574.29</v>
      </c>
      <c r="K70" s="32">
        <f>ROUND(Table157[[#This Row],[Defaulted Principal]]*IF($C$9="No",$E$4,VLOOKUP(Table157[[#This Row],[Period]],[1]Forecast!$H$2:$L$1048576,3,FALSE)),2)</f>
        <v>309.87</v>
      </c>
      <c r="L70" s="4">
        <f>Table157[[#This Row],[Period]]+$E$9</f>
        <v>66</v>
      </c>
      <c r="M70" s="32">
        <f>Table157[[#This Row],[Defaulted Principal]]-Table157[[#This Row],[Estimated Loss]]</f>
        <v>3264.42</v>
      </c>
      <c r="N70" s="32">
        <f>IFERROR(VLOOKUP(Table157[[#This Row],[Period]],$L$16:$M$385,2,FALSE),0)</f>
        <v>3552.8</v>
      </c>
      <c r="O70" s="32">
        <f>Table157[[#This Row],[Beginning Balance]]-Table157[[#This Row],[Principal]]-Table157[[#This Row],[Prepayments]]-Table157[[#This Row],[Defaulted Principal]]</f>
        <v>5195954.3100000042</v>
      </c>
      <c r="P70" s="32">
        <f>Table157[[#This Row],[Principal]]+Table157[[#This Row],[Interest]]+Table157[[#This Row],[Prepayments]]+Table157[[#This Row],[RecoveredAmount]]</f>
        <v>52798.400000000001</v>
      </c>
      <c r="Q70" s="32">
        <f ca="1">ROUND(Table157[[#This Row],[Cash Flow]]/((1+ActualRateToUse)^(IF(ISNUMBER(SEARCH("Actual",$C$7)),Table157[[#This Row],[Running Total]]/365,Table157[[#This Row],[Period]]/12))),2)</f>
        <v>45042.05</v>
      </c>
      <c r="R70" s="4">
        <f>IF(MONTH(Table157[[#This Row],[Date]])=2,28,DAY(DATE(YEAR(Table157[[#This Row],[Date]]),MONTH(Table157[[#This Row],[Date]])+1,1)-1))</f>
        <v>31</v>
      </c>
      <c r="S70" s="4">
        <f ca="1">SUM(OFFSET(Table157[[#Headers],[Days in month]],1,0):Table157[[#This Row],[Days in month]])</f>
        <v>1644</v>
      </c>
      <c r="T70" s="30">
        <f>InterestRate*AmortizationMultiplier*IF(ISNUMBER(SEARCH("Actual",$C$7)),Table157[[#This Row],[Days in month]]/365,1/12)</f>
        <v>2.9708333333333331E-3</v>
      </c>
    </row>
    <row r="71" spans="2:20" x14ac:dyDescent="0.2">
      <c r="B71" s="41">
        <v>47514</v>
      </c>
      <c r="C71" s="4">
        <f t="shared" si="1"/>
        <v>55</v>
      </c>
      <c r="D71" s="32">
        <f t="shared" si="0"/>
        <v>5195954.3100000042</v>
      </c>
      <c r="E71" s="32">
        <f>ROUND(Table157[[#This Row],[Beginning Balance]]*Table157[[#This Row],[Monthly Interest Rate]],2)</f>
        <v>15436.31</v>
      </c>
      <c r="F71" s="32">
        <f t="shared" si="2"/>
        <v>201</v>
      </c>
      <c r="G71" s="45">
        <f>IFERROR(IF($C$13="No","N/A",IF(Table157[[#This Row],[Period]]=1,$C$6,PMT(InterestRate*AmortizationMultiplier/12,Table157[[#This Row],[Am Thru]],-Table157[[#This Row],[Beginning Balance]]))),0)</f>
        <v>34195.343011178236</v>
      </c>
      <c r="H71" s="32">
        <f>MAX(0,IF(C71=$C$4,D71,ROUND(IF($C$3="Fixed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18759.03</v>
      </c>
      <c r="I7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14824.06</v>
      </c>
      <c r="J7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3548.84</v>
      </c>
      <c r="K71" s="32">
        <f>ROUND(Table157[[#This Row],[Defaulted Principal]]*IF($C$9="No",$E$4,VLOOKUP(Table157[[#This Row],[Period]],[1]Forecast!$H$2:$L$1048576,3,FALSE)),2)</f>
        <v>307.66000000000003</v>
      </c>
      <c r="L71" s="4">
        <f>Table157[[#This Row],[Period]]+$E$9</f>
        <v>67</v>
      </c>
      <c r="M71" s="32">
        <f>Table157[[#This Row],[Defaulted Principal]]-Table157[[#This Row],[Estimated Loss]]</f>
        <v>3241.1800000000003</v>
      </c>
      <c r="N71" s="32">
        <f>IFERROR(VLOOKUP(Table157[[#This Row],[Period]],$L$16:$M$385,2,FALSE),0)</f>
        <v>3528.4500000000003</v>
      </c>
      <c r="O71" s="32">
        <f>Table157[[#This Row],[Beginning Balance]]-Table157[[#This Row],[Principal]]-Table157[[#This Row],[Prepayments]]-Table157[[#This Row],[Defaulted Principal]]</f>
        <v>5158822.3800000045</v>
      </c>
      <c r="P71" s="32">
        <f>Table157[[#This Row],[Principal]]+Table157[[#This Row],[Interest]]+Table157[[#This Row],[Prepayments]]+Table157[[#This Row],[RecoveredAmount]]</f>
        <v>52547.849999999991</v>
      </c>
      <c r="Q71" s="32">
        <f ca="1">ROUND(Table157[[#This Row],[Cash Flow]]/((1+ActualRateToUse)^(IF(ISNUMBER(SEARCH("Actual",$C$7)),Table157[[#This Row],[Running Total]]/365,Table157[[#This Row],[Period]]/12))),2)</f>
        <v>44694.2</v>
      </c>
      <c r="R71" s="4">
        <f>IF(MONTH(Table157[[#This Row],[Date]])=2,28,DAY(DATE(YEAR(Table157[[#This Row],[Date]]),MONTH(Table157[[#This Row],[Date]])+1,1)-1))</f>
        <v>31</v>
      </c>
      <c r="S71" s="4">
        <f ca="1">SUM(OFFSET(Table157[[#Headers],[Days in month]],1,0):Table157[[#This Row],[Days in month]])</f>
        <v>1675</v>
      </c>
      <c r="T71" s="30">
        <f>InterestRate*AmortizationMultiplier*IF(ISNUMBER(SEARCH("Actual",$C$7)),Table157[[#This Row],[Days in month]]/365,1/12)</f>
        <v>2.9708333333333331E-3</v>
      </c>
    </row>
    <row r="72" spans="2:20" x14ac:dyDescent="0.2">
      <c r="B72" s="41">
        <v>47542</v>
      </c>
      <c r="C72" s="4">
        <f t="shared" si="1"/>
        <v>56</v>
      </c>
      <c r="D72" s="32">
        <f t="shared" si="0"/>
        <v>5158822.3800000045</v>
      </c>
      <c r="E72" s="32">
        <f>ROUND(Table157[[#This Row],[Beginning Balance]]*Table157[[#This Row],[Monthly Interest Rate]],2)</f>
        <v>13842.84</v>
      </c>
      <c r="F72" s="32">
        <f t="shared" si="2"/>
        <v>200</v>
      </c>
      <c r="G72" s="45">
        <f>IFERROR(IF($C$13="No","N/A",IF(Table157[[#This Row],[Period]]=1,$C$6,PMT(InterestRate*AmortizationMultiplier/12,Table157[[#This Row],[Am Thru]],-Table157[[#This Row],[Beginning Balance]]))),0)</f>
        <v>34075.901951258529</v>
      </c>
      <c r="H72" s="32">
        <f>MAX(0,IF(C72=$C$4,D72,ROUND(IF($C$3="Fixed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20233.060000000001</v>
      </c>
      <c r="I7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14718.12</v>
      </c>
      <c r="J7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3523.48</v>
      </c>
      <c r="K72" s="32">
        <f>ROUND(Table157[[#This Row],[Defaulted Principal]]*IF($C$9="No",$E$4,VLOOKUP(Table157[[#This Row],[Period]],[1]Forecast!$H$2:$L$1048576,3,FALSE)),2)</f>
        <v>305.45999999999998</v>
      </c>
      <c r="L72" s="4">
        <f>Table157[[#This Row],[Period]]+$E$9</f>
        <v>68</v>
      </c>
      <c r="M72" s="32">
        <f>Table157[[#This Row],[Defaulted Principal]]-Table157[[#This Row],[Estimated Loss]]</f>
        <v>3218.02</v>
      </c>
      <c r="N72" s="32">
        <f>IFERROR(VLOOKUP(Table157[[#This Row],[Period]],$L$16:$M$385,2,FALSE),0)</f>
        <v>3504.2</v>
      </c>
      <c r="O72" s="32">
        <f>Table157[[#This Row],[Beginning Balance]]-Table157[[#This Row],[Principal]]-Table157[[#This Row],[Prepayments]]-Table157[[#This Row],[Defaulted Principal]]</f>
        <v>5120347.7200000044</v>
      </c>
      <c r="P72" s="32">
        <f>Table157[[#This Row],[Principal]]+Table157[[#This Row],[Interest]]+Table157[[#This Row],[Prepayments]]+Table157[[#This Row],[RecoveredAmount]]</f>
        <v>52298.22</v>
      </c>
      <c r="Q72" s="32">
        <f ca="1">ROUND(Table157[[#This Row],[Cash Flow]]/((1+ActualRateToUse)^(IF(ISNUMBER(SEARCH("Actual",$C$7)),Table157[[#This Row],[Running Total]]/365,Table157[[#This Row],[Period]]/12))),2)</f>
        <v>44361.67</v>
      </c>
      <c r="R72" s="4">
        <f>IF(MONTH(Table157[[#This Row],[Date]])=2,28,DAY(DATE(YEAR(Table157[[#This Row],[Date]]),MONTH(Table157[[#This Row],[Date]])+1,1)-1))</f>
        <v>28</v>
      </c>
      <c r="S72" s="4">
        <f ca="1">SUM(OFFSET(Table157[[#Headers],[Days in month]],1,0):Table157[[#This Row],[Days in month]])</f>
        <v>1703</v>
      </c>
      <c r="T72" s="30">
        <f>InterestRate*AmortizationMultiplier*IF(ISNUMBER(SEARCH("Actual",$C$7)),Table157[[#This Row],[Days in month]]/365,1/12)</f>
        <v>2.6833333333333336E-3</v>
      </c>
    </row>
    <row r="73" spans="2:20" x14ac:dyDescent="0.2">
      <c r="B73" s="41">
        <v>47573</v>
      </c>
      <c r="C73" s="4">
        <f t="shared" si="1"/>
        <v>57</v>
      </c>
      <c r="D73" s="32">
        <f t="shared" si="0"/>
        <v>5120347.7200000044</v>
      </c>
      <c r="E73" s="32">
        <f>ROUND(Table157[[#This Row],[Beginning Balance]]*Table157[[#This Row],[Monthly Interest Rate]],2)</f>
        <v>15211.7</v>
      </c>
      <c r="F73" s="32">
        <f t="shared" si="2"/>
        <v>199</v>
      </c>
      <c r="G73" s="45">
        <f>IFERROR(IF($C$13="No","N/A",IF(Table157[[#This Row],[Period]]=1,$C$6,PMT(InterestRate*AmortizationMultiplier/12,Table157[[#This Row],[Am Thru]],-Table157[[#This Row],[Beginning Balance]]))),0)</f>
        <v>33947.04211470623</v>
      </c>
      <c r="H73" s="32">
        <f>MAX(0,IF(C73=$C$4,D73,ROUND(IF($C$3="Fixed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18735.34</v>
      </c>
      <c r="I7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14608.35</v>
      </c>
      <c r="J7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3497.2</v>
      </c>
      <c r="K73" s="32">
        <f>ROUND(Table157[[#This Row],[Defaulted Principal]]*IF($C$9="No",$E$4,VLOOKUP(Table157[[#This Row],[Period]],[1]Forecast!$H$2:$L$1048576,3,FALSE)),2)</f>
        <v>303.19</v>
      </c>
      <c r="L73" s="4">
        <f>Table157[[#This Row],[Period]]+$E$9</f>
        <v>69</v>
      </c>
      <c r="M73" s="32">
        <f>Table157[[#This Row],[Defaulted Principal]]-Table157[[#This Row],[Estimated Loss]]</f>
        <v>3194.0099999999998</v>
      </c>
      <c r="N73" s="32">
        <f>IFERROR(VLOOKUP(Table157[[#This Row],[Period]],$L$16:$M$385,2,FALSE),0)</f>
        <v>3479.0299999999997</v>
      </c>
      <c r="O73" s="32">
        <f>Table157[[#This Row],[Beginning Balance]]-Table157[[#This Row],[Principal]]-Table157[[#This Row],[Prepayments]]-Table157[[#This Row],[Defaulted Principal]]</f>
        <v>5083506.8300000047</v>
      </c>
      <c r="P73" s="32">
        <f>Table157[[#This Row],[Principal]]+Table157[[#This Row],[Interest]]+Table157[[#This Row],[Prepayments]]+Table157[[#This Row],[RecoveredAmount]]</f>
        <v>52034.42</v>
      </c>
      <c r="Q73" s="32">
        <f ca="1">ROUND(Table157[[#This Row],[Cash Flow]]/((1+ActualRateToUse)^(IF(ISNUMBER(SEARCH("Actual",$C$7)),Table157[[#This Row],[Running Total]]/365,Table157[[#This Row],[Period]]/12))),2)</f>
        <v>44005.86</v>
      </c>
      <c r="R73" s="4">
        <f>IF(MONTH(Table157[[#This Row],[Date]])=2,28,DAY(DATE(YEAR(Table157[[#This Row],[Date]]),MONTH(Table157[[#This Row],[Date]])+1,1)-1))</f>
        <v>31</v>
      </c>
      <c r="S73" s="4">
        <f ca="1">SUM(OFFSET(Table157[[#Headers],[Days in month]],1,0):Table157[[#This Row],[Days in month]])</f>
        <v>1734</v>
      </c>
      <c r="T73" s="30">
        <f>InterestRate*AmortizationMultiplier*IF(ISNUMBER(SEARCH("Actual",$C$7)),Table157[[#This Row],[Days in month]]/365,1/12)</f>
        <v>2.9708333333333331E-3</v>
      </c>
    </row>
    <row r="74" spans="2:20" x14ac:dyDescent="0.2">
      <c r="B74" s="41">
        <v>47603</v>
      </c>
      <c r="C74" s="4">
        <f t="shared" si="1"/>
        <v>58</v>
      </c>
      <c r="D74" s="32">
        <f t="shared" si="0"/>
        <v>5083506.8300000047</v>
      </c>
      <c r="E74" s="32">
        <f>ROUND(Table157[[#This Row],[Beginning Balance]]*Table157[[#This Row],[Monthly Interest Rate]],2)</f>
        <v>14615.08</v>
      </c>
      <c r="F74" s="32">
        <f t="shared" si="2"/>
        <v>198</v>
      </c>
      <c r="G74" s="45">
        <f>IFERROR(IF($C$13="No","N/A",IF(Table157[[#This Row],[Period]]=1,$C$6,PMT(InterestRate*AmortizationMultiplier/12,Table157[[#This Row],[Am Thru]],-Table157[[#This Row],[Beginning Balance]]))),0)</f>
        <v>33828.462609682458</v>
      </c>
      <c r="H74" s="32">
        <f>MAX(0,IF(C74=$C$4,D74,ROUND(IF($C$3="Fixed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19213.38</v>
      </c>
      <c r="I7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14503.24</v>
      </c>
      <c r="J7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3472.04</v>
      </c>
      <c r="K74" s="32">
        <f>ROUND(Table157[[#This Row],[Defaulted Principal]]*IF($C$9="No",$E$4,VLOOKUP(Table157[[#This Row],[Period]],[1]Forecast!$H$2:$L$1048576,3,FALSE)),2)</f>
        <v>301.01</v>
      </c>
      <c r="L74" s="4">
        <f>Table157[[#This Row],[Period]]+$E$9</f>
        <v>70</v>
      </c>
      <c r="M74" s="32">
        <f>Table157[[#This Row],[Defaulted Principal]]-Table157[[#This Row],[Estimated Loss]]</f>
        <v>3171.0299999999997</v>
      </c>
      <c r="N74" s="32">
        <f>IFERROR(VLOOKUP(Table157[[#This Row],[Period]],$L$16:$M$385,2,FALSE),0)</f>
        <v>3454.96</v>
      </c>
      <c r="O74" s="32">
        <f>Table157[[#This Row],[Beginning Balance]]-Table157[[#This Row],[Principal]]-Table157[[#This Row],[Prepayments]]-Table157[[#This Row],[Defaulted Principal]]</f>
        <v>5046318.1700000046</v>
      </c>
      <c r="P74" s="32">
        <f>Table157[[#This Row],[Principal]]+Table157[[#This Row],[Interest]]+Table157[[#This Row],[Prepayments]]+Table157[[#This Row],[RecoveredAmount]]</f>
        <v>51786.659999999996</v>
      </c>
      <c r="Q74" s="32">
        <f ca="1">ROUND(Table157[[#This Row],[Cash Flow]]/((1+ActualRateToUse)^(IF(ISNUMBER(SEARCH("Actual",$C$7)),Table157[[#This Row],[Running Total]]/365,Table157[[#This Row],[Period]]/12))),2)</f>
        <v>43669.54</v>
      </c>
      <c r="R74" s="4">
        <f>IF(MONTH(Table157[[#This Row],[Date]])=2,28,DAY(DATE(YEAR(Table157[[#This Row],[Date]]),MONTH(Table157[[#This Row],[Date]])+1,1)-1))</f>
        <v>30</v>
      </c>
      <c r="S74" s="4">
        <f ca="1">SUM(OFFSET(Table157[[#Headers],[Days in month]],1,0):Table157[[#This Row],[Days in month]])</f>
        <v>1764</v>
      </c>
      <c r="T74" s="30">
        <f>InterestRate*AmortizationMultiplier*IF(ISNUMBER(SEARCH("Actual",$C$7)),Table157[[#This Row],[Days in month]]/365,1/12)</f>
        <v>2.8749999999999995E-3</v>
      </c>
    </row>
    <row r="75" spans="2:20" x14ac:dyDescent="0.2">
      <c r="B75" s="41">
        <v>47634</v>
      </c>
      <c r="C75" s="4">
        <f t="shared" si="1"/>
        <v>59</v>
      </c>
      <c r="D75" s="32">
        <f t="shared" si="0"/>
        <v>5046318.1700000046</v>
      </c>
      <c r="E75" s="32">
        <f>ROUND(Table157[[#This Row],[Beginning Balance]]*Table157[[#This Row],[Monthly Interest Rate]],2)</f>
        <v>14991.77</v>
      </c>
      <c r="F75" s="32">
        <f t="shared" si="2"/>
        <v>197</v>
      </c>
      <c r="G75" s="45">
        <f>IFERROR(IF($C$13="No","N/A",IF(Table157[[#This Row],[Period]]=1,$C$6,PMT(InterestRate*AmortizationMultiplier/12,Table157[[#This Row],[Am Thru]],-Table157[[#This Row],[Beginning Balance]]))),0)</f>
        <v>33707.040307248164</v>
      </c>
      <c r="H75" s="32">
        <f>MAX(0,IF(C75=$C$4,D75,ROUND(IF($C$3="Fixed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18715.27</v>
      </c>
      <c r="I7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14397.15</v>
      </c>
      <c r="J7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3446.64</v>
      </c>
      <c r="K75" s="32">
        <f>ROUND(Table157[[#This Row],[Defaulted Principal]]*IF($C$9="No",$E$4,VLOOKUP(Table157[[#This Row],[Period]],[1]Forecast!$H$2:$L$1048576,3,FALSE)),2)</f>
        <v>298.8</v>
      </c>
      <c r="L75" s="4">
        <f>Table157[[#This Row],[Period]]+$E$9</f>
        <v>71</v>
      </c>
      <c r="M75" s="32">
        <f>Table157[[#This Row],[Defaulted Principal]]-Table157[[#This Row],[Estimated Loss]]</f>
        <v>3147.8399999999997</v>
      </c>
      <c r="N75" s="32">
        <f>IFERROR(VLOOKUP(Table157[[#This Row],[Period]],$L$16:$M$385,2,FALSE),0)</f>
        <v>3430.66</v>
      </c>
      <c r="O75" s="32">
        <f>Table157[[#This Row],[Beginning Balance]]-Table157[[#This Row],[Principal]]-Table157[[#This Row],[Prepayments]]-Table157[[#This Row],[Defaulted Principal]]</f>
        <v>5009759.110000005</v>
      </c>
      <c r="P75" s="32">
        <f>Table157[[#This Row],[Principal]]+Table157[[#This Row],[Interest]]+Table157[[#This Row],[Prepayments]]+Table157[[#This Row],[RecoveredAmount]]</f>
        <v>51534.850000000006</v>
      </c>
      <c r="Q75" s="32">
        <f ca="1">ROUND(Table157[[#This Row],[Cash Flow]]/((1+ActualRateToUse)^(IF(ISNUMBER(SEARCH("Actual",$C$7)),Table157[[#This Row],[Running Total]]/365,Table157[[#This Row],[Period]]/12))),2)</f>
        <v>43327.19</v>
      </c>
      <c r="R75" s="4">
        <f>IF(MONTH(Table157[[#This Row],[Date]])=2,28,DAY(DATE(YEAR(Table157[[#This Row],[Date]]),MONTH(Table157[[#This Row],[Date]])+1,1)-1))</f>
        <v>31</v>
      </c>
      <c r="S75" s="4">
        <f ca="1">SUM(OFFSET(Table157[[#Headers],[Days in month]],1,0):Table157[[#This Row],[Days in month]])</f>
        <v>1795</v>
      </c>
      <c r="T75" s="30">
        <f>InterestRate*AmortizationMultiplier*IF(ISNUMBER(SEARCH("Actual",$C$7)),Table157[[#This Row],[Days in month]]/365,1/12)</f>
        <v>2.9708333333333331E-3</v>
      </c>
    </row>
    <row r="76" spans="2:20" x14ac:dyDescent="0.2">
      <c r="B76" s="41">
        <v>47664</v>
      </c>
      <c r="C76" s="4">
        <f t="shared" si="1"/>
        <v>60</v>
      </c>
      <c r="D76" s="32">
        <f t="shared" si="0"/>
        <v>5009759.110000005</v>
      </c>
      <c r="E76" s="32">
        <f>ROUND(Table157[[#This Row],[Beginning Balance]]*Table157[[#This Row],[Monthly Interest Rate]],2)</f>
        <v>14403.06</v>
      </c>
      <c r="F76" s="32">
        <f t="shared" si="2"/>
        <v>196</v>
      </c>
      <c r="G76" s="45">
        <f>IFERROR(IF($C$13="No","N/A",IF(Table157[[#This Row],[Period]]=1,$C$6,PMT(InterestRate*AmortizationMultiplier/12,Table157[[#This Row],[Am Thru]],-Table157[[#This Row],[Beginning Balance]]))),0)</f>
        <v>33589.293199781881</v>
      </c>
      <c r="H76" s="32">
        <f>MAX(0,IF(C76=$C$4,D76,ROUND(IF($C$3="Fixed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19186.23</v>
      </c>
      <c r="I7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14292.84</v>
      </c>
      <c r="J7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3421.67</v>
      </c>
      <c r="K76" s="32">
        <f>ROUND(Table157[[#This Row],[Defaulted Principal]]*IF($C$9="No",$E$4,VLOOKUP(Table157[[#This Row],[Period]],[1]Forecast!$H$2:$L$1048576,3,FALSE)),2)</f>
        <v>296.64</v>
      </c>
      <c r="L76" s="4">
        <f>Table157[[#This Row],[Period]]+$E$9</f>
        <v>72</v>
      </c>
      <c r="M76" s="32">
        <f>Table157[[#This Row],[Defaulted Principal]]-Table157[[#This Row],[Estimated Loss]]</f>
        <v>3125.03</v>
      </c>
      <c r="N76" s="32">
        <f>IFERROR(VLOOKUP(Table157[[#This Row],[Period]],$L$16:$M$385,2,FALSE),0)</f>
        <v>3406.7799999999997</v>
      </c>
      <c r="O76" s="32">
        <f>Table157[[#This Row],[Beginning Balance]]-Table157[[#This Row],[Principal]]-Table157[[#This Row],[Prepayments]]-Table157[[#This Row],[Defaulted Principal]]</f>
        <v>4972858.3700000048</v>
      </c>
      <c r="P76" s="32">
        <f>Table157[[#This Row],[Principal]]+Table157[[#This Row],[Interest]]+Table157[[#This Row],[Prepayments]]+Table157[[#This Row],[RecoveredAmount]]</f>
        <v>51288.91</v>
      </c>
      <c r="Q76" s="32">
        <f ca="1">ROUND(Table157[[#This Row],[Cash Flow]]/((1+ActualRateToUse)^(IF(ISNUMBER(SEARCH("Actual",$C$7)),Table157[[#This Row],[Running Total]]/365,Table157[[#This Row],[Period]]/12))),2)</f>
        <v>42995.58</v>
      </c>
      <c r="R76" s="4">
        <f>IF(MONTH(Table157[[#This Row],[Date]])=2,28,DAY(DATE(YEAR(Table157[[#This Row],[Date]]),MONTH(Table157[[#This Row],[Date]])+1,1)-1))</f>
        <v>30</v>
      </c>
      <c r="S76" s="4">
        <f ca="1">SUM(OFFSET(Table157[[#Headers],[Days in month]],1,0):Table157[[#This Row],[Days in month]])</f>
        <v>1825</v>
      </c>
      <c r="T76" s="30">
        <f>InterestRate*AmortizationMultiplier*IF(ISNUMBER(SEARCH("Actual",$C$7)),Table157[[#This Row],[Days in month]]/365,1/12)</f>
        <v>2.8749999999999995E-3</v>
      </c>
    </row>
    <row r="77" spans="2:20" x14ac:dyDescent="0.2">
      <c r="B77" s="41">
        <v>47695</v>
      </c>
      <c r="C77" s="4">
        <f t="shared" si="1"/>
        <v>61</v>
      </c>
      <c r="D77" s="32">
        <f t="shared" si="0"/>
        <v>4972858.3700000048</v>
      </c>
      <c r="E77" s="32">
        <f>ROUND(Table157[[#This Row],[Beginning Balance]]*Table157[[#This Row],[Monthly Interest Rate]],2)</f>
        <v>14773.53</v>
      </c>
      <c r="F77" s="32">
        <f t="shared" si="2"/>
        <v>195</v>
      </c>
      <c r="G77" s="45">
        <f>IFERROR(IF($C$13="No","N/A",IF(Table157[[#This Row],[Period]]=1,$C$6,PMT(InterestRate*AmortizationMultiplier/12,Table157[[#This Row],[Am Thru]],-Table157[[#This Row],[Beginning Balance]]))),0)</f>
        <v>33468.723305721498</v>
      </c>
      <c r="H77" s="32">
        <f>MAX(0,IF(C77=$C$4,D77,ROUND(IF($C$3="Fixed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18695.189999999999</v>
      </c>
      <c r="I7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14187.56</v>
      </c>
      <c r="J7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3396.46</v>
      </c>
      <c r="K77" s="32">
        <f>ROUND(Table157[[#This Row],[Defaulted Principal]]*IF($C$9="No",$E$4,VLOOKUP(Table157[[#This Row],[Period]],[1]Forecast!$H$2:$L$1048576,3,FALSE)),2)</f>
        <v>294.45</v>
      </c>
      <c r="L77" s="4">
        <f>Table157[[#This Row],[Period]]+$E$9</f>
        <v>73</v>
      </c>
      <c r="M77" s="32">
        <f>Table157[[#This Row],[Defaulted Principal]]-Table157[[#This Row],[Estimated Loss]]</f>
        <v>3102.01</v>
      </c>
      <c r="N77" s="32">
        <f>IFERROR(VLOOKUP(Table157[[#This Row],[Period]],$L$16:$M$385,2,FALSE),0)</f>
        <v>3382.66</v>
      </c>
      <c r="O77" s="32">
        <f>Table157[[#This Row],[Beginning Balance]]-Table157[[#This Row],[Principal]]-Table157[[#This Row],[Prepayments]]-Table157[[#This Row],[Defaulted Principal]]</f>
        <v>4936579.1600000048</v>
      </c>
      <c r="P77" s="32">
        <f>Table157[[#This Row],[Principal]]+Table157[[#This Row],[Interest]]+Table157[[#This Row],[Prepayments]]+Table157[[#This Row],[RecoveredAmount]]</f>
        <v>51038.94</v>
      </c>
      <c r="Q77" s="32">
        <f ca="1">ROUND(Table157[[#This Row],[Cash Flow]]/((1+ActualRateToUse)^(IF(ISNUMBER(SEARCH("Actual",$C$7)),Table157[[#This Row],[Running Total]]/365,Table157[[#This Row],[Period]]/12))),2)</f>
        <v>42658.04</v>
      </c>
      <c r="R77" s="4">
        <f>IF(MONTH(Table157[[#This Row],[Date]])=2,28,DAY(DATE(YEAR(Table157[[#This Row],[Date]]),MONTH(Table157[[#This Row],[Date]])+1,1)-1))</f>
        <v>31</v>
      </c>
      <c r="S77" s="4">
        <f ca="1">SUM(OFFSET(Table157[[#Headers],[Days in month]],1,0):Table157[[#This Row],[Days in month]])</f>
        <v>1856</v>
      </c>
      <c r="T77" s="30">
        <f>InterestRate*AmortizationMultiplier*IF(ISNUMBER(SEARCH("Actual",$C$7)),Table157[[#This Row],[Days in month]]/365,1/12)</f>
        <v>2.9708333333333331E-3</v>
      </c>
    </row>
    <row r="78" spans="2:20" x14ac:dyDescent="0.2">
      <c r="B78" s="41">
        <v>47726</v>
      </c>
      <c r="C78" s="4">
        <f t="shared" si="1"/>
        <v>62</v>
      </c>
      <c r="D78" s="32">
        <f t="shared" si="0"/>
        <v>4936579.1600000048</v>
      </c>
      <c r="E78" s="32">
        <f>ROUND(Table157[[#This Row],[Beginning Balance]]*Table157[[#This Row],[Monthly Interest Rate]],2)</f>
        <v>14665.75</v>
      </c>
      <c r="F78" s="32">
        <f t="shared" si="2"/>
        <v>194</v>
      </c>
      <c r="G78" s="45">
        <f>IFERROR(IF($C$13="No","N/A",IF(Table157[[#This Row],[Period]]=1,$C$6,PMT(InterestRate*AmortizationMultiplier/12,Table157[[#This Row],[Am Thru]],-Table157[[#This Row],[Beginning Balance]]))),0)</f>
        <v>33351.802850206201</v>
      </c>
      <c r="H78" s="32">
        <f>MAX(0,IF(C78=$C$4,D78,ROUND(IF($C$3="Fixed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18686.05</v>
      </c>
      <c r="I7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14084.06</v>
      </c>
      <c r="J7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3371.68</v>
      </c>
      <c r="K78" s="32">
        <f>ROUND(Table157[[#This Row],[Defaulted Principal]]*IF($C$9="No",$E$4,VLOOKUP(Table157[[#This Row],[Period]],[1]Forecast!$H$2:$L$1048576,3,FALSE)),2)</f>
        <v>292.3</v>
      </c>
      <c r="L78" s="4">
        <f>Table157[[#This Row],[Period]]+$E$9</f>
        <v>74</v>
      </c>
      <c r="M78" s="32">
        <f>Table157[[#This Row],[Defaulted Principal]]-Table157[[#This Row],[Estimated Loss]]</f>
        <v>3079.3799999999997</v>
      </c>
      <c r="N78" s="32">
        <f>IFERROR(VLOOKUP(Table157[[#This Row],[Period]],$L$16:$M$385,2,FALSE),0)</f>
        <v>3358.96</v>
      </c>
      <c r="O78" s="32">
        <f>Table157[[#This Row],[Beginning Balance]]-Table157[[#This Row],[Principal]]-Table157[[#This Row],[Prepayments]]-Table157[[#This Row],[Defaulted Principal]]</f>
        <v>4900437.3700000057</v>
      </c>
      <c r="P78" s="32">
        <f>Table157[[#This Row],[Principal]]+Table157[[#This Row],[Interest]]+Table157[[#This Row],[Prepayments]]+Table157[[#This Row],[RecoveredAmount]]</f>
        <v>50794.82</v>
      </c>
      <c r="Q78" s="32">
        <f ca="1">ROUND(Table157[[#This Row],[Cash Flow]]/((1+ActualRateToUse)^(IF(ISNUMBER(SEARCH("Actual",$C$7)),Table157[[#This Row],[Running Total]]/365,Table157[[#This Row],[Period]]/12))),2)</f>
        <v>42327</v>
      </c>
      <c r="R78" s="4">
        <f>IF(MONTH(Table157[[#This Row],[Date]])=2,28,DAY(DATE(YEAR(Table157[[#This Row],[Date]]),MONTH(Table157[[#This Row],[Date]])+1,1)-1))</f>
        <v>31</v>
      </c>
      <c r="S78" s="4">
        <f ca="1">SUM(OFFSET(Table157[[#Headers],[Days in month]],1,0):Table157[[#This Row],[Days in month]])</f>
        <v>1887</v>
      </c>
      <c r="T78" s="30">
        <f>InterestRate*AmortizationMultiplier*IF(ISNUMBER(SEARCH("Actual",$C$7)),Table157[[#This Row],[Days in month]]/365,1/12)</f>
        <v>2.9708333333333331E-3</v>
      </c>
    </row>
    <row r="79" spans="2:20" x14ac:dyDescent="0.2">
      <c r="B79" s="41">
        <v>47756</v>
      </c>
      <c r="C79" s="4">
        <f t="shared" si="1"/>
        <v>63</v>
      </c>
      <c r="D79" s="32">
        <f t="shared" si="0"/>
        <v>4900437.3700000057</v>
      </c>
      <c r="E79" s="32">
        <f>ROUND(Table157[[#This Row],[Beginning Balance]]*Table157[[#This Row],[Monthly Interest Rate]],2)</f>
        <v>14088.76</v>
      </c>
      <c r="F79" s="32">
        <f t="shared" si="2"/>
        <v>193</v>
      </c>
      <c r="G79" s="45">
        <f>IFERROR(IF($C$13="No","N/A",IF(Table157[[#This Row],[Period]]=1,$C$6,PMT(InterestRate*AmortizationMultiplier/12,Table157[[#This Row],[Am Thru]],-Table157[[#This Row],[Beginning Balance]]))),0)</f>
        <v>33235.287804078565</v>
      </c>
      <c r="H79" s="32">
        <f>MAX(0,IF(C79=$C$4,D79,ROUND(IF($C$3="Fixed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19146.53</v>
      </c>
      <c r="I7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13980.95</v>
      </c>
      <c r="J7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3347</v>
      </c>
      <c r="K79" s="32">
        <f>ROUND(Table157[[#This Row],[Defaulted Principal]]*IF($C$9="No",$E$4,VLOOKUP(Table157[[#This Row],[Period]],[1]Forecast!$H$2:$L$1048576,3,FALSE)),2)</f>
        <v>290.16000000000003</v>
      </c>
      <c r="L79" s="4">
        <f>Table157[[#This Row],[Period]]+$E$9</f>
        <v>75</v>
      </c>
      <c r="M79" s="32">
        <f>Table157[[#This Row],[Defaulted Principal]]-Table157[[#This Row],[Estimated Loss]]</f>
        <v>3056.84</v>
      </c>
      <c r="N79" s="32">
        <f>IFERROR(VLOOKUP(Table157[[#This Row],[Period]],$L$16:$M$385,2,FALSE),0)</f>
        <v>3335.35</v>
      </c>
      <c r="O79" s="32">
        <f>Table157[[#This Row],[Beginning Balance]]-Table157[[#This Row],[Principal]]-Table157[[#This Row],[Prepayments]]-Table157[[#This Row],[Defaulted Principal]]</f>
        <v>4863962.8900000053</v>
      </c>
      <c r="P79" s="32">
        <f>Table157[[#This Row],[Principal]]+Table157[[#This Row],[Interest]]+Table157[[#This Row],[Prepayments]]+Table157[[#This Row],[RecoveredAmount]]</f>
        <v>50551.590000000004</v>
      </c>
      <c r="Q79" s="32">
        <f ca="1">ROUND(Table157[[#This Row],[Cash Flow]]/((1+ActualRateToUse)^(IF(ISNUMBER(SEARCH("Actual",$C$7)),Table157[[#This Row],[Running Total]]/365,Table157[[#This Row],[Period]]/12))),2)</f>
        <v>42002.36</v>
      </c>
      <c r="R79" s="4">
        <f>IF(MONTH(Table157[[#This Row],[Date]])=2,28,DAY(DATE(YEAR(Table157[[#This Row],[Date]]),MONTH(Table157[[#This Row],[Date]])+1,1)-1))</f>
        <v>30</v>
      </c>
      <c r="S79" s="4">
        <f ca="1">SUM(OFFSET(Table157[[#Headers],[Days in month]],1,0):Table157[[#This Row],[Days in month]])</f>
        <v>1917</v>
      </c>
      <c r="T79" s="30">
        <f>InterestRate*AmortizationMultiplier*IF(ISNUMBER(SEARCH("Actual",$C$7)),Table157[[#This Row],[Days in month]]/365,1/12)</f>
        <v>2.8749999999999995E-3</v>
      </c>
    </row>
    <row r="80" spans="2:20" x14ac:dyDescent="0.2">
      <c r="B80" s="41">
        <v>47787</v>
      </c>
      <c r="C80" s="4">
        <f t="shared" si="1"/>
        <v>64</v>
      </c>
      <c r="D80" s="32">
        <f t="shared" si="0"/>
        <v>4863962.8900000053</v>
      </c>
      <c r="E80" s="32">
        <f>ROUND(Table157[[#This Row],[Beginning Balance]]*Table157[[#This Row],[Monthly Interest Rate]],2)</f>
        <v>14450.02</v>
      </c>
      <c r="F80" s="32">
        <f t="shared" si="2"/>
        <v>192</v>
      </c>
      <c r="G80" s="45">
        <f>IFERROR(IF($C$13="No","N/A",IF(Table157[[#This Row],[Period]]=1,$C$6,PMT(InterestRate*AmortizationMultiplier/12,Table157[[#This Row],[Am Thru]],-Table157[[#This Row],[Beginning Balance]]))),0)</f>
        <v>33115.979315000302</v>
      </c>
      <c r="H80" s="32">
        <f>MAX(0,IF(C80=$C$4,D80,ROUND(IF($C$3="Fixed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18665.96</v>
      </c>
      <c r="I8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13876.89</v>
      </c>
      <c r="J8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3322.09</v>
      </c>
      <c r="K80" s="32">
        <f>ROUND(Table157[[#This Row],[Defaulted Principal]]*IF($C$9="No",$E$4,VLOOKUP(Table157[[#This Row],[Period]],[1]Forecast!$H$2:$L$1048576,3,FALSE)),2)</f>
        <v>288.01</v>
      </c>
      <c r="L80" s="4">
        <f>Table157[[#This Row],[Period]]+$E$9</f>
        <v>76</v>
      </c>
      <c r="M80" s="32">
        <f>Table157[[#This Row],[Defaulted Principal]]-Table157[[#This Row],[Estimated Loss]]</f>
        <v>3034.08</v>
      </c>
      <c r="N80" s="32">
        <f>IFERROR(VLOOKUP(Table157[[#This Row],[Period]],$L$16:$M$385,2,FALSE),0)</f>
        <v>3311.5099999999998</v>
      </c>
      <c r="O80" s="32">
        <f>Table157[[#This Row],[Beginning Balance]]-Table157[[#This Row],[Principal]]-Table157[[#This Row],[Prepayments]]-Table157[[#This Row],[Defaulted Principal]]</f>
        <v>4828097.9500000058</v>
      </c>
      <c r="P80" s="32">
        <f>Table157[[#This Row],[Principal]]+Table157[[#This Row],[Interest]]+Table157[[#This Row],[Prepayments]]+Table157[[#This Row],[RecoveredAmount]]</f>
        <v>50304.38</v>
      </c>
      <c r="Q80" s="32">
        <f ca="1">ROUND(Table157[[#This Row],[Cash Flow]]/((1+ActualRateToUse)^(IF(ISNUMBER(SEARCH("Actual",$C$7)),Table157[[#This Row],[Running Total]]/365,Table157[[#This Row],[Period]]/12))),2)</f>
        <v>41671.919999999998</v>
      </c>
      <c r="R80" s="4">
        <f>IF(MONTH(Table157[[#This Row],[Date]])=2,28,DAY(DATE(YEAR(Table157[[#This Row],[Date]]),MONTH(Table157[[#This Row],[Date]])+1,1)-1))</f>
        <v>31</v>
      </c>
      <c r="S80" s="4">
        <f ca="1">SUM(OFFSET(Table157[[#Headers],[Days in month]],1,0):Table157[[#This Row],[Days in month]])</f>
        <v>1948</v>
      </c>
      <c r="T80" s="30">
        <f>InterestRate*AmortizationMultiplier*IF(ISNUMBER(SEARCH("Actual",$C$7)),Table157[[#This Row],[Days in month]]/365,1/12)</f>
        <v>2.9708333333333331E-3</v>
      </c>
    </row>
    <row r="81" spans="2:20" x14ac:dyDescent="0.2">
      <c r="B81" s="41">
        <v>47817</v>
      </c>
      <c r="C81" s="4">
        <f t="shared" si="1"/>
        <v>65</v>
      </c>
      <c r="D81" s="32">
        <f t="shared" si="0"/>
        <v>4828097.9500000058</v>
      </c>
      <c r="E81" s="32">
        <f>ROUND(Table157[[#This Row],[Beginning Balance]]*Table157[[#This Row],[Monthly Interest Rate]],2)</f>
        <v>13880.78</v>
      </c>
      <c r="F81" s="32">
        <f t="shared" si="2"/>
        <v>191</v>
      </c>
      <c r="G81" s="45">
        <f>IFERROR(IF($C$13="No","N/A",IF(Table157[[#This Row],[Period]]=1,$C$6,PMT(InterestRate*AmortizationMultiplier/12,Table157[[#This Row],[Am Thru]],-Table157[[#This Row],[Beginning Balance]]))),0)</f>
        <v>33000.281944213188</v>
      </c>
      <c r="H81" s="32">
        <f>MAX(0,IF(C81=$C$4,D81,ROUND(IF($C$3="Fixed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19119.5</v>
      </c>
      <c r="I8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13774.56</v>
      </c>
      <c r="J8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3297.59</v>
      </c>
      <c r="K81" s="32">
        <f>ROUND(Table157[[#This Row],[Defaulted Principal]]*IF($C$9="No",$E$4,VLOOKUP(Table157[[#This Row],[Period]],[1]Forecast!$H$2:$L$1048576,3,FALSE)),2)</f>
        <v>285.88</v>
      </c>
      <c r="L81" s="4">
        <f>Table157[[#This Row],[Period]]+$E$9</f>
        <v>77</v>
      </c>
      <c r="M81" s="32">
        <f>Table157[[#This Row],[Defaulted Principal]]-Table157[[#This Row],[Estimated Loss]]</f>
        <v>3011.71</v>
      </c>
      <c r="N81" s="32">
        <f>IFERROR(VLOOKUP(Table157[[#This Row],[Period]],$L$16:$M$385,2,FALSE),0)</f>
        <v>3288.08</v>
      </c>
      <c r="O81" s="32">
        <f>Table157[[#This Row],[Beginning Balance]]-Table157[[#This Row],[Principal]]-Table157[[#This Row],[Prepayments]]-Table157[[#This Row],[Defaulted Principal]]</f>
        <v>4791906.3000000063</v>
      </c>
      <c r="P81" s="32">
        <f>Table157[[#This Row],[Principal]]+Table157[[#This Row],[Interest]]+Table157[[#This Row],[Prepayments]]+Table157[[#This Row],[RecoveredAmount]]</f>
        <v>50062.92</v>
      </c>
      <c r="Q81" s="32">
        <f ca="1">ROUND(Table157[[#This Row],[Cash Flow]]/((1+ActualRateToUse)^(IF(ISNUMBER(SEARCH("Actual",$C$7)),Table157[[#This Row],[Running Total]]/365,Table157[[#This Row],[Period]]/12))),2)</f>
        <v>41351.83</v>
      </c>
      <c r="R81" s="4">
        <f>IF(MONTH(Table157[[#This Row],[Date]])=2,28,DAY(DATE(YEAR(Table157[[#This Row],[Date]]),MONTH(Table157[[#This Row],[Date]])+1,1)-1))</f>
        <v>30</v>
      </c>
      <c r="S81" s="4">
        <f ca="1">SUM(OFFSET(Table157[[#Headers],[Days in month]],1,0):Table157[[#This Row],[Days in month]])</f>
        <v>1978</v>
      </c>
      <c r="T81" s="30">
        <f>InterestRate*AmortizationMultiplier*IF(ISNUMBER(SEARCH("Actual",$C$7)),Table157[[#This Row],[Days in month]]/365,1/12)</f>
        <v>2.8749999999999995E-3</v>
      </c>
    </row>
    <row r="82" spans="2:20" x14ac:dyDescent="0.2">
      <c r="B82" s="41">
        <v>47848</v>
      </c>
      <c r="C82" s="4">
        <f t="shared" si="1"/>
        <v>66</v>
      </c>
      <c r="D82" s="32">
        <f t="shared" ref="D82:D145" si="3">O81</f>
        <v>4791906.3000000063</v>
      </c>
      <c r="E82" s="32">
        <f>ROUND(Table157[[#This Row],[Beginning Balance]]*Table157[[#This Row],[Monthly Interest Rate]],2)</f>
        <v>14235.95</v>
      </c>
      <c r="F82" s="32">
        <f t="shared" si="2"/>
        <v>190</v>
      </c>
      <c r="G82" s="45">
        <f>IFERROR(IF($C$13="No","N/A",IF(Table157[[#This Row],[Period]]=1,$C$6,PMT(InterestRate*AmortizationMultiplier/12,Table157[[#This Row],[Am Thru]],-Table157[[#This Row],[Beginning Balance]]))),0)</f>
        <v>32881.81083905424</v>
      </c>
      <c r="H82" s="32">
        <f>MAX(0,IF(C82=$C$4,D82,ROUND(IF($C$3="Fixed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18645.86</v>
      </c>
      <c r="I8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13671.31</v>
      </c>
      <c r="J8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3272.87</v>
      </c>
      <c r="K82" s="32">
        <f>ROUND(Table157[[#This Row],[Defaulted Principal]]*IF($C$9="No",$E$4,VLOOKUP(Table157[[#This Row],[Period]],[1]Forecast!$H$2:$L$1048576,3,FALSE)),2)</f>
        <v>283.74</v>
      </c>
      <c r="L82" s="4">
        <f>Table157[[#This Row],[Period]]+$E$9</f>
        <v>78</v>
      </c>
      <c r="M82" s="32">
        <f>Table157[[#This Row],[Defaulted Principal]]-Table157[[#This Row],[Estimated Loss]]</f>
        <v>2989.13</v>
      </c>
      <c r="N82" s="32">
        <f>IFERROR(VLOOKUP(Table157[[#This Row],[Period]],$L$16:$M$385,2,FALSE),0)</f>
        <v>3264.42</v>
      </c>
      <c r="O82" s="32">
        <f>Table157[[#This Row],[Beginning Balance]]-Table157[[#This Row],[Principal]]-Table157[[#This Row],[Prepayments]]-Table157[[#This Row],[Defaulted Principal]]</f>
        <v>4756316.2600000063</v>
      </c>
      <c r="P82" s="32">
        <f>Table157[[#This Row],[Principal]]+Table157[[#This Row],[Interest]]+Table157[[#This Row],[Prepayments]]+Table157[[#This Row],[RecoveredAmount]]</f>
        <v>49817.539999999994</v>
      </c>
      <c r="Q82" s="32">
        <f ca="1">ROUND(Table157[[#This Row],[Cash Flow]]/((1+ActualRateToUse)^(IF(ISNUMBER(SEARCH("Actual",$C$7)),Table157[[#This Row],[Running Total]]/365,Table157[[#This Row],[Period]]/12))),2)</f>
        <v>41026.050000000003</v>
      </c>
      <c r="R82" s="4">
        <f>IF(MONTH(Table157[[#This Row],[Date]])=2,28,DAY(DATE(YEAR(Table157[[#This Row],[Date]]),MONTH(Table157[[#This Row],[Date]])+1,1)-1))</f>
        <v>31</v>
      </c>
      <c r="S82" s="4">
        <f ca="1">SUM(OFFSET(Table157[[#Headers],[Days in month]],1,0):Table157[[#This Row],[Days in month]])</f>
        <v>2009</v>
      </c>
      <c r="T82" s="30">
        <f>InterestRate*AmortizationMultiplier*IF(ISNUMBER(SEARCH("Actual",$C$7)),Table157[[#This Row],[Days in month]]/365,1/12)</f>
        <v>2.9708333333333331E-3</v>
      </c>
    </row>
    <row r="83" spans="2:20" x14ac:dyDescent="0.2">
      <c r="B83" s="41">
        <v>47879</v>
      </c>
      <c r="C83" s="4">
        <f t="shared" ref="C83:C146" si="4">C82+1</f>
        <v>67</v>
      </c>
      <c r="D83" s="32">
        <f t="shared" si="3"/>
        <v>4756316.2600000063</v>
      </c>
      <c r="E83" s="32">
        <f>ROUND(Table157[[#This Row],[Beginning Balance]]*Table157[[#This Row],[Monthly Interest Rate]],2)</f>
        <v>14130.22</v>
      </c>
      <c r="F83" s="32">
        <f t="shared" ref="F83:F146" si="5">+F82-1</f>
        <v>189</v>
      </c>
      <c r="G83" s="45">
        <f>IFERROR(IF($C$13="No","N/A",IF(Table157[[#This Row],[Period]]=1,$C$6,PMT(InterestRate*AmortizationMultiplier/12,Table157[[#This Row],[Am Thru]],-Table157[[#This Row],[Beginning Balance]]))),0)</f>
        <v>32766.925462253097</v>
      </c>
      <c r="H83" s="32">
        <f>MAX(0,IF(C83=$C$4,D83,ROUND(IF($C$3="Fixed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18636.71</v>
      </c>
      <c r="I8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13569.77</v>
      </c>
      <c r="J8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3248.56</v>
      </c>
      <c r="K83" s="32">
        <f>ROUND(Table157[[#This Row],[Defaulted Principal]]*IF($C$9="No",$E$4,VLOOKUP(Table157[[#This Row],[Period]],[1]Forecast!$H$2:$L$1048576,3,FALSE)),2)</f>
        <v>281.63</v>
      </c>
      <c r="L83" s="4">
        <f>Table157[[#This Row],[Period]]+$E$9</f>
        <v>79</v>
      </c>
      <c r="M83" s="32">
        <f>Table157[[#This Row],[Defaulted Principal]]-Table157[[#This Row],[Estimated Loss]]</f>
        <v>2966.93</v>
      </c>
      <c r="N83" s="32">
        <f>IFERROR(VLOOKUP(Table157[[#This Row],[Period]],$L$16:$M$385,2,FALSE),0)</f>
        <v>3241.1800000000003</v>
      </c>
      <c r="O83" s="32">
        <f>Table157[[#This Row],[Beginning Balance]]-Table157[[#This Row],[Principal]]-Table157[[#This Row],[Prepayments]]-Table157[[#This Row],[Defaulted Principal]]</f>
        <v>4720861.2200000072</v>
      </c>
      <c r="P83" s="32">
        <f>Table157[[#This Row],[Principal]]+Table157[[#This Row],[Interest]]+Table157[[#This Row],[Prepayments]]+Table157[[#This Row],[RecoveredAmount]]</f>
        <v>49577.88</v>
      </c>
      <c r="Q83" s="32">
        <f ca="1">ROUND(Table157[[#This Row],[Cash Flow]]/((1+ActualRateToUse)^(IF(ISNUMBER(SEARCH("Actual",$C$7)),Table157[[#This Row],[Running Total]]/365,Table157[[#This Row],[Period]]/12))),2)</f>
        <v>40706.54</v>
      </c>
      <c r="R83" s="4">
        <f>IF(MONTH(Table157[[#This Row],[Date]])=2,28,DAY(DATE(YEAR(Table157[[#This Row],[Date]]),MONTH(Table157[[#This Row],[Date]])+1,1)-1))</f>
        <v>31</v>
      </c>
      <c r="S83" s="4">
        <f ca="1">SUM(OFFSET(Table157[[#Headers],[Days in month]],1,0):Table157[[#This Row],[Days in month]])</f>
        <v>2040</v>
      </c>
      <c r="T83" s="30">
        <f>InterestRate*AmortizationMultiplier*IF(ISNUMBER(SEARCH("Actual",$C$7)),Table157[[#This Row],[Days in month]]/365,1/12)</f>
        <v>2.9708333333333331E-3</v>
      </c>
    </row>
    <row r="84" spans="2:20" x14ac:dyDescent="0.2">
      <c r="B84" s="41">
        <v>47907</v>
      </c>
      <c r="C84" s="4">
        <f t="shared" si="4"/>
        <v>68</v>
      </c>
      <c r="D84" s="32">
        <f t="shared" si="3"/>
        <v>4720861.2200000072</v>
      </c>
      <c r="E84" s="32">
        <f>ROUND(Table157[[#This Row],[Beginning Balance]]*Table157[[#This Row],[Monthly Interest Rate]],2)</f>
        <v>12667.64</v>
      </c>
      <c r="F84" s="32">
        <f t="shared" si="5"/>
        <v>188</v>
      </c>
      <c r="G84" s="45">
        <f>IFERROR(IF($C$13="No","N/A",IF(Table157[[#This Row],[Period]]=1,$C$6,PMT(InterestRate*AmortizationMultiplier/12,Table157[[#This Row],[Am Thru]],-Table157[[#This Row],[Beginning Balance]]))),0)</f>
        <v>32652.438358745505</v>
      </c>
      <c r="H84" s="32">
        <f>MAX(0,IF(C84=$C$4,D84,ROUND(IF($C$3="Fixed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19984.8</v>
      </c>
      <c r="I8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13468.62</v>
      </c>
      <c r="J8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3224.35</v>
      </c>
      <c r="K84" s="32">
        <f>ROUND(Table157[[#This Row],[Defaulted Principal]]*IF($C$9="No",$E$4,VLOOKUP(Table157[[#This Row],[Period]],[1]Forecast!$H$2:$L$1048576,3,FALSE)),2)</f>
        <v>279.52999999999997</v>
      </c>
      <c r="L84" s="4">
        <f>Table157[[#This Row],[Period]]+$E$9</f>
        <v>80</v>
      </c>
      <c r="M84" s="32">
        <f>Table157[[#This Row],[Defaulted Principal]]-Table157[[#This Row],[Estimated Loss]]</f>
        <v>2944.8199999999997</v>
      </c>
      <c r="N84" s="32">
        <f>IFERROR(VLOOKUP(Table157[[#This Row],[Period]],$L$16:$M$385,2,FALSE),0)</f>
        <v>3218.02</v>
      </c>
      <c r="O84" s="32">
        <f>Table157[[#This Row],[Beginning Balance]]-Table157[[#This Row],[Principal]]-Table157[[#This Row],[Prepayments]]-Table157[[#This Row],[Defaulted Principal]]</f>
        <v>4684183.4500000076</v>
      </c>
      <c r="P84" s="32">
        <f>Table157[[#This Row],[Principal]]+Table157[[#This Row],[Interest]]+Table157[[#This Row],[Prepayments]]+Table157[[#This Row],[RecoveredAmount]]</f>
        <v>49339.079999999994</v>
      </c>
      <c r="Q84" s="32">
        <f ca="1">ROUND(Table157[[#This Row],[Cash Flow]]/((1+ActualRateToUse)^(IF(ISNUMBER(SEARCH("Actual",$C$7)),Table157[[#This Row],[Running Total]]/365,Table157[[#This Row],[Period]]/12))),2)</f>
        <v>40401</v>
      </c>
      <c r="R84" s="4">
        <f>IF(MONTH(Table157[[#This Row],[Date]])=2,28,DAY(DATE(YEAR(Table157[[#This Row],[Date]]),MONTH(Table157[[#This Row],[Date]])+1,1)-1))</f>
        <v>28</v>
      </c>
      <c r="S84" s="4">
        <f ca="1">SUM(OFFSET(Table157[[#Headers],[Days in month]],1,0):Table157[[#This Row],[Days in month]])</f>
        <v>2068</v>
      </c>
      <c r="T84" s="30">
        <f>InterestRate*AmortizationMultiplier*IF(ISNUMBER(SEARCH("Actual",$C$7)),Table157[[#This Row],[Days in month]]/365,1/12)</f>
        <v>2.6833333333333336E-3</v>
      </c>
    </row>
    <row r="85" spans="2:20" x14ac:dyDescent="0.2">
      <c r="B85" s="41">
        <v>47938</v>
      </c>
      <c r="C85" s="4">
        <f t="shared" si="4"/>
        <v>69</v>
      </c>
      <c r="D85" s="32">
        <f t="shared" si="3"/>
        <v>4684183.4500000076</v>
      </c>
      <c r="E85" s="32">
        <f>ROUND(Table157[[#This Row],[Beginning Balance]]*Table157[[#This Row],[Monthly Interest Rate]],2)</f>
        <v>13915.93</v>
      </c>
      <c r="F85" s="32">
        <f t="shared" si="5"/>
        <v>187</v>
      </c>
      <c r="G85" s="45">
        <f>IFERROR(IF($C$13="No","N/A",IF(Table157[[#This Row],[Period]]=1,$C$6,PMT(InterestRate*AmortizationMultiplier/12,Table157[[#This Row],[Am Thru]],-Table157[[#This Row],[Beginning Balance]]))),0)</f>
        <v>32528.922777165764</v>
      </c>
      <c r="H85" s="32">
        <f>MAX(0,IF(C85=$C$4,D85,ROUND(IF($C$3="Fixed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18612.990000000002</v>
      </c>
      <c r="I8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13363.98</v>
      </c>
      <c r="J8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3199.3</v>
      </c>
      <c r="K85" s="32">
        <f>ROUND(Table157[[#This Row],[Defaulted Principal]]*IF($C$9="No",$E$4,VLOOKUP(Table157[[#This Row],[Period]],[1]Forecast!$H$2:$L$1048576,3,FALSE)),2)</f>
        <v>277.36</v>
      </c>
      <c r="L85" s="4">
        <f>Table157[[#This Row],[Period]]+$E$9</f>
        <v>81</v>
      </c>
      <c r="M85" s="32">
        <f>Table157[[#This Row],[Defaulted Principal]]-Table157[[#This Row],[Estimated Loss]]</f>
        <v>2921.94</v>
      </c>
      <c r="N85" s="32">
        <f>IFERROR(VLOOKUP(Table157[[#This Row],[Period]],$L$16:$M$385,2,FALSE),0)</f>
        <v>3194.0099999999998</v>
      </c>
      <c r="O85" s="32">
        <f>Table157[[#This Row],[Beginning Balance]]-Table157[[#This Row],[Principal]]-Table157[[#This Row],[Prepayments]]-Table157[[#This Row],[Defaulted Principal]]</f>
        <v>4649007.1800000072</v>
      </c>
      <c r="P85" s="32">
        <f>Table157[[#This Row],[Principal]]+Table157[[#This Row],[Interest]]+Table157[[#This Row],[Prepayments]]+Table157[[#This Row],[RecoveredAmount]]</f>
        <v>49086.91</v>
      </c>
      <c r="Q85" s="32">
        <f ca="1">ROUND(Table157[[#This Row],[Cash Flow]]/((1+ActualRateToUse)^(IF(ISNUMBER(SEARCH("Actual",$C$7)),Table157[[#This Row],[Running Total]]/365,Table157[[#This Row],[Period]]/12))),2)</f>
        <v>40074.269999999997</v>
      </c>
      <c r="R85" s="4">
        <f>IF(MONTH(Table157[[#This Row],[Date]])=2,28,DAY(DATE(YEAR(Table157[[#This Row],[Date]]),MONTH(Table157[[#This Row],[Date]])+1,1)-1))</f>
        <v>31</v>
      </c>
      <c r="S85" s="4">
        <f ca="1">SUM(OFFSET(Table157[[#Headers],[Days in month]],1,0):Table157[[#This Row],[Days in month]])</f>
        <v>2099</v>
      </c>
      <c r="T85" s="30">
        <f>InterestRate*AmortizationMultiplier*IF(ISNUMBER(SEARCH("Actual",$C$7)),Table157[[#This Row],[Days in month]]/365,1/12)</f>
        <v>2.9708333333333331E-3</v>
      </c>
    </row>
    <row r="86" spans="2:20" x14ac:dyDescent="0.2">
      <c r="B86" s="41">
        <v>47968</v>
      </c>
      <c r="C86" s="4">
        <f t="shared" si="4"/>
        <v>70</v>
      </c>
      <c r="D86" s="32">
        <f t="shared" si="3"/>
        <v>4649007.1800000072</v>
      </c>
      <c r="E86" s="32">
        <f>ROUND(Table157[[#This Row],[Beginning Balance]]*Table157[[#This Row],[Monthly Interest Rate]],2)</f>
        <v>13365.9</v>
      </c>
      <c r="F86" s="32">
        <f t="shared" si="5"/>
        <v>186</v>
      </c>
      <c r="G86" s="45">
        <f>IFERROR(IF($C$13="No","N/A",IF(Table157[[#This Row],[Period]]=1,$C$6,PMT(InterestRate*AmortizationMultiplier/12,Table157[[#This Row],[Am Thru]],-Table157[[#This Row],[Beginning Balance]]))),0)</f>
        <v>32415.260944588736</v>
      </c>
      <c r="H86" s="32">
        <f>MAX(0,IF(C86=$C$4,D86,ROUND(IF($C$3="Fixed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19049.36</v>
      </c>
      <c r="I8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13263.62</v>
      </c>
      <c r="J8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3175.27</v>
      </c>
      <c r="K86" s="32">
        <f>ROUND(Table157[[#This Row],[Defaulted Principal]]*IF($C$9="No",$E$4,VLOOKUP(Table157[[#This Row],[Period]],[1]Forecast!$H$2:$L$1048576,3,FALSE)),2)</f>
        <v>275.27999999999997</v>
      </c>
      <c r="L86" s="4">
        <f>Table157[[#This Row],[Period]]+$E$9</f>
        <v>82</v>
      </c>
      <c r="M86" s="32">
        <f>Table157[[#This Row],[Defaulted Principal]]-Table157[[#This Row],[Estimated Loss]]</f>
        <v>2899.99</v>
      </c>
      <c r="N86" s="32">
        <f>IFERROR(VLOOKUP(Table157[[#This Row],[Period]],$L$16:$M$385,2,FALSE),0)</f>
        <v>3171.0299999999997</v>
      </c>
      <c r="O86" s="32">
        <f>Table157[[#This Row],[Beginning Balance]]-Table157[[#This Row],[Principal]]-Table157[[#This Row],[Prepayments]]-Table157[[#This Row],[Defaulted Principal]]</f>
        <v>4613518.9300000072</v>
      </c>
      <c r="P86" s="32">
        <f>Table157[[#This Row],[Principal]]+Table157[[#This Row],[Interest]]+Table157[[#This Row],[Prepayments]]+Table157[[#This Row],[RecoveredAmount]]</f>
        <v>48849.91</v>
      </c>
      <c r="Q86" s="32">
        <f ca="1">ROUND(Table157[[#This Row],[Cash Flow]]/((1+ActualRateToUse)^(IF(ISNUMBER(SEARCH("Actual",$C$7)),Table157[[#This Row],[Running Total]]/365,Table157[[#This Row],[Period]]/12))),2)</f>
        <v>39765.32</v>
      </c>
      <c r="R86" s="4">
        <f>IF(MONTH(Table157[[#This Row],[Date]])=2,28,DAY(DATE(YEAR(Table157[[#This Row],[Date]]),MONTH(Table157[[#This Row],[Date]])+1,1)-1))</f>
        <v>30</v>
      </c>
      <c r="S86" s="4">
        <f ca="1">SUM(OFFSET(Table157[[#Headers],[Days in month]],1,0):Table157[[#This Row],[Days in month]])</f>
        <v>2129</v>
      </c>
      <c r="T86" s="30">
        <f>InterestRate*AmortizationMultiplier*IF(ISNUMBER(SEARCH("Actual",$C$7)),Table157[[#This Row],[Days in month]]/365,1/12)</f>
        <v>2.8749999999999995E-3</v>
      </c>
    </row>
    <row r="87" spans="2:20" x14ac:dyDescent="0.2">
      <c r="B87" s="41">
        <v>47999</v>
      </c>
      <c r="C87" s="4">
        <f t="shared" si="4"/>
        <v>71</v>
      </c>
      <c r="D87" s="32">
        <f t="shared" si="3"/>
        <v>4613518.9300000072</v>
      </c>
      <c r="E87" s="32">
        <f>ROUND(Table157[[#This Row],[Beginning Balance]]*Table157[[#This Row],[Monthly Interest Rate]],2)</f>
        <v>13706</v>
      </c>
      <c r="F87" s="32">
        <f t="shared" si="5"/>
        <v>185</v>
      </c>
      <c r="G87" s="45">
        <f>IFERROR(IF($C$13="No","N/A",IF(Table157[[#This Row],[Period]]=1,$C$6,PMT(InterestRate*AmortizationMultiplier/12,Table157[[#This Row],[Am Thru]],-Table157[[#This Row],[Beginning Balance]]))),0)</f>
        <v>32298.874005667039</v>
      </c>
      <c r="H87" s="32">
        <f>MAX(0,IF(C87=$C$4,D87,ROUND(IF($C$3="Fixed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18592.87</v>
      </c>
      <c r="I8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13162.37</v>
      </c>
      <c r="J8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3151.03</v>
      </c>
      <c r="K87" s="32">
        <f>ROUND(Table157[[#This Row],[Defaulted Principal]]*IF($C$9="No",$E$4,VLOOKUP(Table157[[#This Row],[Period]],[1]Forecast!$H$2:$L$1048576,3,FALSE)),2)</f>
        <v>273.18</v>
      </c>
      <c r="L87" s="4">
        <f>Table157[[#This Row],[Period]]+$E$9</f>
        <v>83</v>
      </c>
      <c r="M87" s="32">
        <f>Table157[[#This Row],[Defaulted Principal]]-Table157[[#This Row],[Estimated Loss]]</f>
        <v>2877.8500000000004</v>
      </c>
      <c r="N87" s="32">
        <f>IFERROR(VLOOKUP(Table157[[#This Row],[Period]],$L$16:$M$385,2,FALSE),0)</f>
        <v>3147.8399999999997</v>
      </c>
      <c r="O87" s="32">
        <f>Table157[[#This Row],[Beginning Balance]]-Table157[[#This Row],[Principal]]-Table157[[#This Row],[Prepayments]]-Table157[[#This Row],[Defaulted Principal]]</f>
        <v>4578612.6600000067</v>
      </c>
      <c r="P87" s="32">
        <f>Table157[[#This Row],[Principal]]+Table157[[#This Row],[Interest]]+Table157[[#This Row],[Prepayments]]+Table157[[#This Row],[RecoveredAmount]]</f>
        <v>48609.079999999994</v>
      </c>
      <c r="Q87" s="32">
        <f ca="1">ROUND(Table157[[#This Row],[Cash Flow]]/((1+ActualRateToUse)^(IF(ISNUMBER(SEARCH("Actual",$C$7)),Table157[[#This Row],[Running Total]]/365,Table157[[#This Row],[Period]]/12))),2)</f>
        <v>39450.910000000003</v>
      </c>
      <c r="R87" s="4">
        <f>IF(MONTH(Table157[[#This Row],[Date]])=2,28,DAY(DATE(YEAR(Table157[[#This Row],[Date]]),MONTH(Table157[[#This Row],[Date]])+1,1)-1))</f>
        <v>31</v>
      </c>
      <c r="S87" s="4">
        <f ca="1">SUM(OFFSET(Table157[[#Headers],[Days in month]],1,0):Table157[[#This Row],[Days in month]])</f>
        <v>2160</v>
      </c>
      <c r="T87" s="30">
        <f>InterestRate*AmortizationMultiplier*IF(ISNUMBER(SEARCH("Actual",$C$7)),Table157[[#This Row],[Days in month]]/365,1/12)</f>
        <v>2.9708333333333331E-3</v>
      </c>
    </row>
    <row r="88" spans="2:20" x14ac:dyDescent="0.2">
      <c r="B88" s="41">
        <v>48029</v>
      </c>
      <c r="C88" s="4">
        <f t="shared" si="4"/>
        <v>72</v>
      </c>
      <c r="D88" s="32">
        <f t="shared" si="3"/>
        <v>4578612.6600000067</v>
      </c>
      <c r="E88" s="32">
        <f>ROUND(Table157[[#This Row],[Beginning Balance]]*Table157[[#This Row],[Monthly Interest Rate]],2)</f>
        <v>13163.51</v>
      </c>
      <c r="F88" s="32">
        <f t="shared" si="5"/>
        <v>184</v>
      </c>
      <c r="G88" s="45">
        <f>IFERROR(IF($C$13="No","N/A",IF(Table157[[#This Row],[Period]]=1,$C$6,PMT(InterestRate*AmortizationMultiplier/12,Table157[[#This Row],[Am Thru]],-Table157[[#This Row],[Beginning Balance]]))),0)</f>
        <v>32186.009699524209</v>
      </c>
      <c r="H88" s="32">
        <f>MAX(0,IF(C88=$C$4,D88,ROUND(IF($C$3="Fixed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19022.5</v>
      </c>
      <c r="I8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13062.78</v>
      </c>
      <c r="J8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3127.19</v>
      </c>
      <c r="K88" s="32">
        <f>ROUND(Table157[[#This Row],[Defaulted Principal]]*IF($C$9="No",$E$4,VLOOKUP(Table157[[#This Row],[Period]],[1]Forecast!$H$2:$L$1048576,3,FALSE)),2)</f>
        <v>271.11</v>
      </c>
      <c r="L88" s="4">
        <f>Table157[[#This Row],[Period]]+$E$9</f>
        <v>84</v>
      </c>
      <c r="M88" s="32">
        <f>Table157[[#This Row],[Defaulted Principal]]-Table157[[#This Row],[Estimated Loss]]</f>
        <v>2856.08</v>
      </c>
      <c r="N88" s="32">
        <f>IFERROR(VLOOKUP(Table157[[#This Row],[Period]],$L$16:$M$385,2,FALSE),0)</f>
        <v>3125.03</v>
      </c>
      <c r="O88" s="32">
        <f>Table157[[#This Row],[Beginning Balance]]-Table157[[#This Row],[Principal]]-Table157[[#This Row],[Prepayments]]-Table157[[#This Row],[Defaulted Principal]]</f>
        <v>4543400.190000006</v>
      </c>
      <c r="P88" s="32">
        <f>Table157[[#This Row],[Principal]]+Table157[[#This Row],[Interest]]+Table157[[#This Row],[Prepayments]]+Table157[[#This Row],[RecoveredAmount]]</f>
        <v>48373.82</v>
      </c>
      <c r="Q88" s="32">
        <f ca="1">ROUND(Table157[[#This Row],[Cash Flow]]/((1+ActualRateToUse)^(IF(ISNUMBER(SEARCH("Actual",$C$7)),Table157[[#This Row],[Running Total]]/365,Table157[[#This Row],[Period]]/12))),2)</f>
        <v>39146.31</v>
      </c>
      <c r="R88" s="4">
        <f>IF(MONTH(Table157[[#This Row],[Date]])=2,28,DAY(DATE(YEAR(Table157[[#This Row],[Date]]),MONTH(Table157[[#This Row],[Date]])+1,1)-1))</f>
        <v>30</v>
      </c>
      <c r="S88" s="4">
        <f ca="1">SUM(OFFSET(Table157[[#Headers],[Days in month]],1,0):Table157[[#This Row],[Days in month]])</f>
        <v>2190</v>
      </c>
      <c r="T88" s="30">
        <f>InterestRate*AmortizationMultiplier*IF(ISNUMBER(SEARCH("Actual",$C$7)),Table157[[#This Row],[Days in month]]/365,1/12)</f>
        <v>2.8749999999999995E-3</v>
      </c>
    </row>
    <row r="89" spans="2:20" x14ac:dyDescent="0.2">
      <c r="B89" s="41">
        <v>48060</v>
      </c>
      <c r="C89" s="4">
        <f t="shared" si="4"/>
        <v>73</v>
      </c>
      <c r="D89" s="32">
        <f t="shared" si="3"/>
        <v>4543400.190000006</v>
      </c>
      <c r="E89" s="32">
        <f>ROUND(Table157[[#This Row],[Beginning Balance]]*Table157[[#This Row],[Monthly Interest Rate]],2)</f>
        <v>13497.68</v>
      </c>
      <c r="F89" s="32">
        <f t="shared" si="5"/>
        <v>183</v>
      </c>
      <c r="G89" s="45">
        <f>IFERROR(IF($C$13="No","N/A",IF(Table157[[#This Row],[Period]]=1,$C$6,PMT(InterestRate*AmortizationMultiplier/12,Table157[[#This Row],[Am Thru]],-Table157[[#This Row],[Beginning Balance]]))),0)</f>
        <v>32070.439243607718</v>
      </c>
      <c r="H89" s="32">
        <f>MAX(0,IF(C89=$C$4,D89,ROUND(IF($C$3="Fixed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18572.759999999998</v>
      </c>
      <c r="I8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12962.32</v>
      </c>
      <c r="J8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3103.14</v>
      </c>
      <c r="K89" s="32">
        <f>ROUND(Table157[[#This Row],[Defaulted Principal]]*IF($C$9="No",$E$4,VLOOKUP(Table157[[#This Row],[Period]],[1]Forecast!$H$2:$L$1048576,3,FALSE)),2)</f>
        <v>269.02</v>
      </c>
      <c r="L89" s="4">
        <f>Table157[[#This Row],[Period]]+$E$9</f>
        <v>85</v>
      </c>
      <c r="M89" s="32">
        <f>Table157[[#This Row],[Defaulted Principal]]-Table157[[#This Row],[Estimated Loss]]</f>
        <v>2834.12</v>
      </c>
      <c r="N89" s="32">
        <f>IFERROR(VLOOKUP(Table157[[#This Row],[Period]],$L$16:$M$385,2,FALSE),0)</f>
        <v>3102.01</v>
      </c>
      <c r="O89" s="32">
        <f>Table157[[#This Row],[Beginning Balance]]-Table157[[#This Row],[Principal]]-Table157[[#This Row],[Prepayments]]-Table157[[#This Row],[Defaulted Principal]]</f>
        <v>4508761.9700000063</v>
      </c>
      <c r="P89" s="32">
        <f>Table157[[#This Row],[Principal]]+Table157[[#This Row],[Interest]]+Table157[[#This Row],[Prepayments]]+Table157[[#This Row],[RecoveredAmount]]</f>
        <v>48134.77</v>
      </c>
      <c r="Q89" s="32">
        <f ca="1">ROUND(Table157[[#This Row],[Cash Flow]]/((1+ActualRateToUse)^(IF(ISNUMBER(SEARCH("Actual",$C$7)),Table157[[#This Row],[Running Total]]/365,Table157[[#This Row],[Period]]/12))),2)</f>
        <v>38836.33</v>
      </c>
      <c r="R89" s="4">
        <f>IF(MONTH(Table157[[#This Row],[Date]])=2,28,DAY(DATE(YEAR(Table157[[#This Row],[Date]]),MONTH(Table157[[#This Row],[Date]])+1,1)-1))</f>
        <v>31</v>
      </c>
      <c r="S89" s="4">
        <f ca="1">SUM(OFFSET(Table157[[#Headers],[Days in month]],1,0):Table157[[#This Row],[Days in month]])</f>
        <v>2221</v>
      </c>
      <c r="T89" s="30">
        <f>InterestRate*AmortizationMultiplier*IF(ISNUMBER(SEARCH("Actual",$C$7)),Table157[[#This Row],[Days in month]]/365,1/12)</f>
        <v>2.9708333333333331E-3</v>
      </c>
    </row>
    <row r="90" spans="2:20" x14ac:dyDescent="0.2">
      <c r="B90" s="41">
        <v>48091</v>
      </c>
      <c r="C90" s="4">
        <f t="shared" si="4"/>
        <v>74</v>
      </c>
      <c r="D90" s="32">
        <f t="shared" si="3"/>
        <v>4508761.9700000063</v>
      </c>
      <c r="E90" s="32">
        <f>ROUND(Table157[[#This Row],[Beginning Balance]]*Table157[[#This Row],[Monthly Interest Rate]],2)</f>
        <v>13394.78</v>
      </c>
      <c r="F90" s="32">
        <f t="shared" si="5"/>
        <v>182</v>
      </c>
      <c r="G90" s="45">
        <f>IFERROR(IF($C$13="No","N/A",IF(Table157[[#This Row],[Period]]=1,$C$6,PMT(InterestRate*AmortizationMultiplier/12,Table157[[#This Row],[Am Thru]],-Table157[[#This Row],[Beginning Balance]]))),0)</f>
        <v>31958.366578214744</v>
      </c>
      <c r="H90" s="32">
        <f>MAX(0,IF(C90=$C$4,D90,ROUND(IF($C$3="Fixed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18563.59</v>
      </c>
      <c r="I9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12863.5</v>
      </c>
      <c r="J9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3079.48</v>
      </c>
      <c r="K90" s="32">
        <f>ROUND(Table157[[#This Row],[Defaulted Principal]]*IF($C$9="No",$E$4,VLOOKUP(Table157[[#This Row],[Period]],[1]Forecast!$H$2:$L$1048576,3,FALSE)),2)</f>
        <v>266.97000000000003</v>
      </c>
      <c r="L90" s="4">
        <f>Table157[[#This Row],[Period]]+$E$9</f>
        <v>86</v>
      </c>
      <c r="M90" s="32">
        <f>Table157[[#This Row],[Defaulted Principal]]-Table157[[#This Row],[Estimated Loss]]</f>
        <v>2812.51</v>
      </c>
      <c r="N90" s="32">
        <f>IFERROR(VLOOKUP(Table157[[#This Row],[Period]],$L$16:$M$385,2,FALSE),0)</f>
        <v>3079.3799999999997</v>
      </c>
      <c r="O90" s="32">
        <f>Table157[[#This Row],[Beginning Balance]]-Table157[[#This Row],[Principal]]-Table157[[#This Row],[Prepayments]]-Table157[[#This Row],[Defaulted Principal]]</f>
        <v>4474255.400000006</v>
      </c>
      <c r="P90" s="32">
        <f>Table157[[#This Row],[Principal]]+Table157[[#This Row],[Interest]]+Table157[[#This Row],[Prepayments]]+Table157[[#This Row],[RecoveredAmount]]</f>
        <v>47901.25</v>
      </c>
      <c r="Q90" s="32">
        <f ca="1">ROUND(Table157[[#This Row],[Cash Flow]]/((1+ActualRateToUse)^(IF(ISNUMBER(SEARCH("Actual",$C$7)),Table157[[#This Row],[Running Total]]/365,Table157[[#This Row],[Period]]/12))),2)</f>
        <v>38532.300000000003</v>
      </c>
      <c r="R90" s="4">
        <f>IF(MONTH(Table157[[#This Row],[Date]])=2,28,DAY(DATE(YEAR(Table157[[#This Row],[Date]]),MONTH(Table157[[#This Row],[Date]])+1,1)-1))</f>
        <v>31</v>
      </c>
      <c r="S90" s="4">
        <f ca="1">SUM(OFFSET(Table157[[#Headers],[Days in month]],1,0):Table157[[#This Row],[Days in month]])</f>
        <v>2252</v>
      </c>
      <c r="T90" s="30">
        <f>InterestRate*AmortizationMultiplier*IF(ISNUMBER(SEARCH("Actual",$C$7)),Table157[[#This Row],[Days in month]]/365,1/12)</f>
        <v>2.9708333333333331E-3</v>
      </c>
    </row>
    <row r="91" spans="2:20" x14ac:dyDescent="0.2">
      <c r="B91" s="41">
        <v>48121</v>
      </c>
      <c r="C91" s="4">
        <f t="shared" si="4"/>
        <v>75</v>
      </c>
      <c r="D91" s="32">
        <f t="shared" si="3"/>
        <v>4474255.400000006</v>
      </c>
      <c r="E91" s="32">
        <f>ROUND(Table157[[#This Row],[Beginning Balance]]*Table157[[#This Row],[Monthly Interest Rate]],2)</f>
        <v>12863.48</v>
      </c>
      <c r="F91" s="32">
        <f t="shared" si="5"/>
        <v>181</v>
      </c>
      <c r="G91" s="45">
        <f>IFERROR(IF($C$13="No","N/A",IF(Table157[[#This Row],[Period]]=1,$C$6,PMT(InterestRate*AmortizationMultiplier/12,Table157[[#This Row],[Am Thru]],-Table157[[#This Row],[Beginning Balance]]))),0)</f>
        <v>31846.682272345195</v>
      </c>
      <c r="H91" s="32">
        <f>MAX(0,IF(C91=$C$4,D91,ROUND(IF($C$3="Fixed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4474255.400000006</v>
      </c>
      <c r="I9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1" s="32">
        <f>ROUND(Table157[[#This Row],[Defaulted Principal]]*IF($C$9="No",$E$4,VLOOKUP(Table157[[#This Row],[Period]],[1]Forecast!$H$2:$L$1048576,3,FALSE)),2)</f>
        <v>0</v>
      </c>
      <c r="L91" s="4">
        <f>Table157[[#This Row],[Period]]+$E$9</f>
        <v>87</v>
      </c>
      <c r="M91" s="32">
        <f>Table157[[#This Row],[Defaulted Principal]]-Table157[[#This Row],[Estimated Loss]]</f>
        <v>0</v>
      </c>
      <c r="N91" s="32">
        <f>IFERROR(VLOOKUP(Table157[[#This Row],[Period]],$L$16:$M$385,2,FALSE),0)</f>
        <v>3056.84</v>
      </c>
      <c r="O91" s="32">
        <f>Table157[[#This Row],[Beginning Balance]]-Table157[[#This Row],[Principal]]-Table157[[#This Row],[Prepayments]]-Table157[[#This Row],[Defaulted Principal]]</f>
        <v>0</v>
      </c>
      <c r="P91" s="32">
        <f>Table157[[#This Row],[Principal]]+Table157[[#This Row],[Interest]]+Table157[[#This Row],[Prepayments]]+Table157[[#This Row],[RecoveredAmount]]</f>
        <v>4490175.7200000063</v>
      </c>
      <c r="Q91" s="32">
        <f ca="1">ROUND(Table157[[#This Row],[Cash Flow]]/((1+ActualRateToUse)^(IF(ISNUMBER(SEARCH("Actual",$C$7)),Table157[[#This Row],[Running Total]]/365,Table157[[#This Row],[Period]]/12))),2)</f>
        <v>3601490.72</v>
      </c>
      <c r="R91" s="4">
        <f>IF(MONTH(Table157[[#This Row],[Date]])=2,28,DAY(DATE(YEAR(Table157[[#This Row],[Date]]),MONTH(Table157[[#This Row],[Date]])+1,1)-1))</f>
        <v>30</v>
      </c>
      <c r="S91" s="4">
        <f ca="1">SUM(OFFSET(Table157[[#Headers],[Days in month]],1,0):Table157[[#This Row],[Days in month]])</f>
        <v>2282</v>
      </c>
      <c r="T91" s="30">
        <f>InterestRate*AmortizationMultiplier*IF(ISNUMBER(SEARCH("Actual",$C$7)),Table157[[#This Row],[Days in month]]/365,1/12)</f>
        <v>2.8749999999999995E-3</v>
      </c>
    </row>
    <row r="92" spans="2:20" x14ac:dyDescent="0.2">
      <c r="B92" s="41">
        <v>48152</v>
      </c>
      <c r="C92" s="4">
        <f t="shared" si="4"/>
        <v>76</v>
      </c>
      <c r="D92" s="32">
        <f t="shared" si="3"/>
        <v>0</v>
      </c>
      <c r="E92" s="32">
        <f>ROUND(Table157[[#This Row],[Beginning Balance]]*Table157[[#This Row],[Monthly Interest Rate]],2)</f>
        <v>0</v>
      </c>
      <c r="F92" s="32">
        <f t="shared" si="5"/>
        <v>180</v>
      </c>
      <c r="G92" s="45">
        <f>IFERROR(IF($C$13="No","N/A",IF(Table157[[#This Row],[Period]]=1,$C$6,PMT(InterestRate*AmortizationMultiplier/12,Table157[[#This Row],[Am Thru]],-Table157[[#This Row],[Beginning Balance]]))),0)</f>
        <v>0</v>
      </c>
      <c r="H92" s="32">
        <f>MAX(0,IF(C92=$C$4,D92,ROUND(IF($C$3="Fixed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2" s="32">
        <f>ROUND(Table157[[#This Row],[Defaulted Principal]]*IF($C$9="No",$E$4,VLOOKUP(Table157[[#This Row],[Period]],[1]Forecast!$H$2:$L$1048576,3,FALSE)),2)</f>
        <v>0</v>
      </c>
      <c r="L92" s="4">
        <f>Table157[[#This Row],[Period]]+$E$9</f>
        <v>88</v>
      </c>
      <c r="M92" s="32">
        <f>Table157[[#This Row],[Defaulted Principal]]-Table157[[#This Row],[Estimated Loss]]</f>
        <v>0</v>
      </c>
      <c r="N92" s="32">
        <f>IFERROR(VLOOKUP(Table157[[#This Row],[Period]],$L$16:$M$385,2,FALSE),0)</f>
        <v>3034.08</v>
      </c>
      <c r="O92" s="32">
        <f>Table157[[#This Row],[Beginning Balance]]-Table157[[#This Row],[Principal]]-Table157[[#This Row],[Prepayments]]-Table157[[#This Row],[Defaulted Principal]]</f>
        <v>0</v>
      </c>
      <c r="P92" s="32">
        <f>Table157[[#This Row],[Principal]]+Table157[[#This Row],[Interest]]+Table157[[#This Row],[Prepayments]]+Table157[[#This Row],[RecoveredAmount]]</f>
        <v>3034.08</v>
      </c>
      <c r="Q92" s="32">
        <f ca="1">ROUND(Table157[[#This Row],[Cash Flow]]/((1+ActualRateToUse)^(IF(ISNUMBER(SEARCH("Actual",$C$7)),Table157[[#This Row],[Running Total]]/365,Table157[[#This Row],[Period]]/12))),2)</f>
        <v>2426.3000000000002</v>
      </c>
      <c r="R92" s="4">
        <f>IF(MONTH(Table157[[#This Row],[Date]])=2,28,DAY(DATE(YEAR(Table157[[#This Row],[Date]]),MONTH(Table157[[#This Row],[Date]])+1,1)-1))</f>
        <v>31</v>
      </c>
      <c r="S92" s="4">
        <f ca="1">SUM(OFFSET(Table157[[#Headers],[Days in month]],1,0):Table157[[#This Row],[Days in month]])</f>
        <v>2313</v>
      </c>
      <c r="T92" s="30">
        <f>InterestRate*AmortizationMultiplier*IF(ISNUMBER(SEARCH("Actual",$C$7)),Table157[[#This Row],[Days in month]]/365,1/12)</f>
        <v>2.9708333333333331E-3</v>
      </c>
    </row>
    <row r="93" spans="2:20" x14ac:dyDescent="0.2">
      <c r="B93" s="41">
        <v>48182</v>
      </c>
      <c r="C93" s="4">
        <f t="shared" si="4"/>
        <v>77</v>
      </c>
      <c r="D93" s="32">
        <f t="shared" si="3"/>
        <v>0</v>
      </c>
      <c r="E93" s="32">
        <f>ROUND(Table157[[#This Row],[Beginning Balance]]*Table157[[#This Row],[Monthly Interest Rate]],2)</f>
        <v>0</v>
      </c>
      <c r="F93" s="32">
        <f t="shared" si="5"/>
        <v>179</v>
      </c>
      <c r="G93" s="45">
        <f>IFERROR(IF($C$13="No","N/A",IF(Table157[[#This Row],[Period]]=1,$C$6,PMT(InterestRate*AmortizationMultiplier/12,Table157[[#This Row],[Am Thru]],-Table157[[#This Row],[Beginning Balance]]))),0)</f>
        <v>0</v>
      </c>
      <c r="H93" s="32">
        <f>MAX(0,IF(C93=$C$4,D93,ROUND(IF($C$3="Fixed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3" s="32">
        <f>ROUND(Table157[[#This Row],[Defaulted Principal]]*IF($C$9="No",$E$4,VLOOKUP(Table157[[#This Row],[Period]],[1]Forecast!$H$2:$L$1048576,3,FALSE)),2)</f>
        <v>0</v>
      </c>
      <c r="L93" s="4">
        <f>Table157[[#This Row],[Period]]+$E$9</f>
        <v>89</v>
      </c>
      <c r="M93" s="32">
        <f>Table157[[#This Row],[Defaulted Principal]]-Table157[[#This Row],[Estimated Loss]]</f>
        <v>0</v>
      </c>
      <c r="N93" s="32">
        <f>IFERROR(VLOOKUP(Table157[[#This Row],[Period]],$L$16:$M$385,2,FALSE),0)</f>
        <v>3011.71</v>
      </c>
      <c r="O93" s="32">
        <f>Table157[[#This Row],[Beginning Balance]]-Table157[[#This Row],[Principal]]-Table157[[#This Row],[Prepayments]]-Table157[[#This Row],[Defaulted Principal]]</f>
        <v>0</v>
      </c>
      <c r="P93" s="32">
        <f>Table157[[#This Row],[Principal]]+Table157[[#This Row],[Interest]]+Table157[[#This Row],[Prepayments]]+Table157[[#This Row],[RecoveredAmount]]</f>
        <v>3011.71</v>
      </c>
      <c r="Q93" s="32">
        <f ca="1">ROUND(Table157[[#This Row],[Cash Flow]]/((1+ActualRateToUse)^(IF(ISNUMBER(SEARCH("Actual",$C$7)),Table157[[#This Row],[Running Total]]/365,Table157[[#This Row],[Period]]/12))),2)</f>
        <v>2401.44</v>
      </c>
      <c r="R93" s="4">
        <f>IF(MONTH(Table157[[#This Row],[Date]])=2,28,DAY(DATE(YEAR(Table157[[#This Row],[Date]]),MONTH(Table157[[#This Row],[Date]])+1,1)-1))</f>
        <v>30</v>
      </c>
      <c r="S93" s="4">
        <f ca="1">SUM(OFFSET(Table157[[#Headers],[Days in month]],1,0):Table157[[#This Row],[Days in month]])</f>
        <v>2343</v>
      </c>
      <c r="T93" s="30">
        <f>InterestRate*AmortizationMultiplier*IF(ISNUMBER(SEARCH("Actual",$C$7)),Table157[[#This Row],[Days in month]]/365,1/12)</f>
        <v>2.8749999999999995E-3</v>
      </c>
    </row>
    <row r="94" spans="2:20" x14ac:dyDescent="0.2">
      <c r="B94" s="41">
        <v>48213</v>
      </c>
      <c r="C94" s="4">
        <f t="shared" si="4"/>
        <v>78</v>
      </c>
      <c r="D94" s="32">
        <f t="shared" si="3"/>
        <v>0</v>
      </c>
      <c r="E94" s="32">
        <f>ROUND(Table157[[#This Row],[Beginning Balance]]*Table157[[#This Row],[Monthly Interest Rate]],2)</f>
        <v>0</v>
      </c>
      <c r="F94" s="32">
        <f t="shared" si="5"/>
        <v>178</v>
      </c>
      <c r="G94" s="45">
        <f>IFERROR(IF($C$13="No","N/A",IF(Table157[[#This Row],[Period]]=1,$C$6,PMT(InterestRate*AmortizationMultiplier/12,Table157[[#This Row],[Am Thru]],-Table157[[#This Row],[Beginning Balance]]))),0)</f>
        <v>0</v>
      </c>
      <c r="H94" s="32">
        <f>MAX(0,IF(C94=$C$4,D94,ROUND(IF($C$3="Fixed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4" s="32">
        <f>ROUND(Table157[[#This Row],[Defaulted Principal]]*IF($C$9="No",$E$4,VLOOKUP(Table157[[#This Row],[Period]],[1]Forecast!$H$2:$L$1048576,3,FALSE)),2)</f>
        <v>0</v>
      </c>
      <c r="L94" s="4">
        <f>Table157[[#This Row],[Period]]+$E$9</f>
        <v>90</v>
      </c>
      <c r="M94" s="32">
        <f>Table157[[#This Row],[Defaulted Principal]]-Table157[[#This Row],[Estimated Loss]]</f>
        <v>0</v>
      </c>
      <c r="N94" s="32">
        <f>IFERROR(VLOOKUP(Table157[[#This Row],[Period]],$L$16:$M$385,2,FALSE),0)</f>
        <v>2989.13</v>
      </c>
      <c r="O94" s="32">
        <f>Table157[[#This Row],[Beginning Balance]]-Table157[[#This Row],[Principal]]-Table157[[#This Row],[Prepayments]]-Table157[[#This Row],[Defaulted Principal]]</f>
        <v>0</v>
      </c>
      <c r="P94" s="32">
        <f>Table157[[#This Row],[Principal]]+Table157[[#This Row],[Interest]]+Table157[[#This Row],[Prepayments]]+Table157[[#This Row],[RecoveredAmount]]</f>
        <v>2989.13</v>
      </c>
      <c r="Q94" s="32">
        <f ca="1">ROUND(Table157[[#This Row],[Cash Flow]]/((1+ActualRateToUse)^(IF(ISNUMBER(SEARCH("Actual",$C$7)),Table157[[#This Row],[Running Total]]/365,Table157[[#This Row],[Period]]/12))),2)</f>
        <v>2376.31</v>
      </c>
      <c r="R94" s="4">
        <f>IF(MONTH(Table157[[#This Row],[Date]])=2,28,DAY(DATE(YEAR(Table157[[#This Row],[Date]]),MONTH(Table157[[#This Row],[Date]])+1,1)-1))</f>
        <v>31</v>
      </c>
      <c r="S94" s="4">
        <f ca="1">SUM(OFFSET(Table157[[#Headers],[Days in month]],1,0):Table157[[#This Row],[Days in month]])</f>
        <v>2374</v>
      </c>
      <c r="T94" s="30">
        <f>InterestRate*AmortizationMultiplier*IF(ISNUMBER(SEARCH("Actual",$C$7)),Table157[[#This Row],[Days in month]]/365,1/12)</f>
        <v>2.9708333333333331E-3</v>
      </c>
    </row>
    <row r="95" spans="2:20" x14ac:dyDescent="0.2">
      <c r="B95" s="41">
        <v>48244</v>
      </c>
      <c r="C95" s="4">
        <f t="shared" si="4"/>
        <v>79</v>
      </c>
      <c r="D95" s="32">
        <f t="shared" si="3"/>
        <v>0</v>
      </c>
      <c r="E95" s="32">
        <f>ROUND(Table157[[#This Row],[Beginning Balance]]*Table157[[#This Row],[Monthly Interest Rate]],2)</f>
        <v>0</v>
      </c>
      <c r="F95" s="32">
        <f t="shared" si="5"/>
        <v>177</v>
      </c>
      <c r="G95" s="45">
        <f>IFERROR(IF($C$13="No","N/A",IF(Table157[[#This Row],[Period]]=1,$C$6,PMT(InterestRate*AmortizationMultiplier/12,Table157[[#This Row],[Am Thru]],-Table157[[#This Row],[Beginning Balance]]))),0)</f>
        <v>0</v>
      </c>
      <c r="H95" s="32">
        <f>MAX(0,IF(C95=$C$4,D95,ROUND(IF($C$3="Fixed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5" s="32">
        <f>ROUND(Table157[[#This Row],[Defaulted Principal]]*IF($C$9="No",$E$4,VLOOKUP(Table157[[#This Row],[Period]],[1]Forecast!$H$2:$L$1048576,3,FALSE)),2)</f>
        <v>0</v>
      </c>
      <c r="L95" s="4">
        <f>Table157[[#This Row],[Period]]+$E$9</f>
        <v>91</v>
      </c>
      <c r="M95" s="32">
        <f>Table157[[#This Row],[Defaulted Principal]]-Table157[[#This Row],[Estimated Loss]]</f>
        <v>0</v>
      </c>
      <c r="N95" s="32">
        <f>IFERROR(VLOOKUP(Table157[[#This Row],[Period]],$L$16:$M$385,2,FALSE),0)</f>
        <v>2966.93</v>
      </c>
      <c r="O95" s="32">
        <f>Table157[[#This Row],[Beginning Balance]]-Table157[[#This Row],[Principal]]-Table157[[#This Row],[Prepayments]]-Table157[[#This Row],[Defaulted Principal]]</f>
        <v>0</v>
      </c>
      <c r="P95" s="32">
        <f>Table157[[#This Row],[Principal]]+Table157[[#This Row],[Interest]]+Table157[[#This Row],[Prepayments]]+Table157[[#This Row],[RecoveredAmount]]</f>
        <v>2966.93</v>
      </c>
      <c r="Q95" s="32">
        <f ca="1">ROUND(Table157[[#This Row],[Cash Flow]]/((1+ActualRateToUse)^(IF(ISNUMBER(SEARCH("Actual",$C$7)),Table157[[#This Row],[Running Total]]/365,Table157[[#This Row],[Period]]/12))),2)</f>
        <v>2351.6</v>
      </c>
      <c r="R95" s="4">
        <f>IF(MONTH(Table157[[#This Row],[Date]])=2,28,DAY(DATE(YEAR(Table157[[#This Row],[Date]]),MONTH(Table157[[#This Row],[Date]])+1,1)-1))</f>
        <v>31</v>
      </c>
      <c r="S95" s="4">
        <f ca="1">SUM(OFFSET(Table157[[#Headers],[Days in month]],1,0):Table157[[#This Row],[Days in month]])</f>
        <v>2405</v>
      </c>
      <c r="T95" s="30">
        <f>InterestRate*AmortizationMultiplier*IF(ISNUMBER(SEARCH("Actual",$C$7)),Table157[[#This Row],[Days in month]]/365,1/12)</f>
        <v>2.9708333333333331E-3</v>
      </c>
    </row>
    <row r="96" spans="2:20" x14ac:dyDescent="0.2">
      <c r="B96" s="41">
        <v>48273</v>
      </c>
      <c r="C96" s="4">
        <f t="shared" si="4"/>
        <v>80</v>
      </c>
      <c r="D96" s="32">
        <f t="shared" si="3"/>
        <v>0</v>
      </c>
      <c r="E96" s="32">
        <f>ROUND(Table157[[#This Row],[Beginning Balance]]*Table157[[#This Row],[Monthly Interest Rate]],2)</f>
        <v>0</v>
      </c>
      <c r="F96" s="32">
        <f t="shared" si="5"/>
        <v>176</v>
      </c>
      <c r="G96" s="45">
        <f>IFERROR(IF($C$13="No","N/A",IF(Table157[[#This Row],[Period]]=1,$C$6,PMT(InterestRate*AmortizationMultiplier/12,Table157[[#This Row],[Am Thru]],-Table157[[#This Row],[Beginning Balance]]))),0)</f>
        <v>0</v>
      </c>
      <c r="H96" s="32">
        <f>MAX(0,IF(C96=$C$4,D96,ROUND(IF($C$3="Fixed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6" s="32">
        <f>ROUND(Table157[[#This Row],[Defaulted Principal]]*IF($C$9="No",$E$4,VLOOKUP(Table157[[#This Row],[Period]],[1]Forecast!$H$2:$L$1048576,3,FALSE)),2)</f>
        <v>0</v>
      </c>
      <c r="L96" s="4">
        <f>Table157[[#This Row],[Period]]+$E$9</f>
        <v>92</v>
      </c>
      <c r="M96" s="32">
        <f>Table157[[#This Row],[Defaulted Principal]]-Table157[[#This Row],[Estimated Loss]]</f>
        <v>0</v>
      </c>
      <c r="N96" s="32">
        <f>IFERROR(VLOOKUP(Table157[[#This Row],[Period]],$L$16:$M$385,2,FALSE),0)</f>
        <v>2944.8199999999997</v>
      </c>
      <c r="O96" s="32">
        <f>Table157[[#This Row],[Beginning Balance]]-Table157[[#This Row],[Principal]]-Table157[[#This Row],[Prepayments]]-Table157[[#This Row],[Defaulted Principal]]</f>
        <v>0</v>
      </c>
      <c r="P96" s="32">
        <f>Table157[[#This Row],[Principal]]+Table157[[#This Row],[Interest]]+Table157[[#This Row],[Prepayments]]+Table157[[#This Row],[RecoveredAmount]]</f>
        <v>2944.8199999999997</v>
      </c>
      <c r="Q96" s="32">
        <f ca="1">ROUND(Table157[[#This Row],[Cash Flow]]/((1+ActualRateToUse)^(IF(ISNUMBER(SEARCH("Actual",$C$7)),Table157[[#This Row],[Running Total]]/365,Table157[[#This Row],[Period]]/12))),2)</f>
        <v>2327.77</v>
      </c>
      <c r="R96" s="4">
        <f>IF(MONTH(Table157[[#This Row],[Date]])=2,28,DAY(DATE(YEAR(Table157[[#This Row],[Date]]),MONTH(Table157[[#This Row],[Date]])+1,1)-1))</f>
        <v>28</v>
      </c>
      <c r="S96" s="4">
        <f ca="1">SUM(OFFSET(Table157[[#Headers],[Days in month]],1,0):Table157[[#This Row],[Days in month]])</f>
        <v>2433</v>
      </c>
      <c r="T96" s="30">
        <f>InterestRate*AmortizationMultiplier*IF(ISNUMBER(SEARCH("Actual",$C$7)),Table157[[#This Row],[Days in month]]/365,1/12)</f>
        <v>2.6833333333333336E-3</v>
      </c>
    </row>
    <row r="97" spans="2:20" x14ac:dyDescent="0.2">
      <c r="B97" s="41">
        <v>48304</v>
      </c>
      <c r="C97" s="4">
        <f t="shared" si="4"/>
        <v>81</v>
      </c>
      <c r="D97" s="32">
        <f t="shared" si="3"/>
        <v>0</v>
      </c>
      <c r="E97" s="32">
        <f>ROUND(Table157[[#This Row],[Beginning Balance]]*Table157[[#This Row],[Monthly Interest Rate]],2)</f>
        <v>0</v>
      </c>
      <c r="F97" s="32">
        <f t="shared" si="5"/>
        <v>175</v>
      </c>
      <c r="G97" s="45">
        <f>IFERROR(IF($C$13="No","N/A",IF(Table157[[#This Row],[Period]]=1,$C$6,PMT(InterestRate*AmortizationMultiplier/12,Table157[[#This Row],[Am Thru]],-Table157[[#This Row],[Beginning Balance]]))),0)</f>
        <v>0</v>
      </c>
      <c r="H97" s="32">
        <f>MAX(0,IF(C97=$C$4,D97,ROUND(IF($C$3="Fixed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7" s="32">
        <f>ROUND(Table157[[#This Row],[Defaulted Principal]]*IF($C$9="No",$E$4,VLOOKUP(Table157[[#This Row],[Period]],[1]Forecast!$H$2:$L$1048576,3,FALSE)),2)</f>
        <v>0</v>
      </c>
      <c r="L97" s="4">
        <f>Table157[[#This Row],[Period]]+$E$9</f>
        <v>93</v>
      </c>
      <c r="M97" s="32">
        <f>Table157[[#This Row],[Defaulted Principal]]-Table157[[#This Row],[Estimated Loss]]</f>
        <v>0</v>
      </c>
      <c r="N97" s="32">
        <f>IFERROR(VLOOKUP(Table157[[#This Row],[Period]],$L$16:$M$385,2,FALSE),0)</f>
        <v>2921.94</v>
      </c>
      <c r="O97" s="32">
        <f>Table157[[#This Row],[Beginning Balance]]-Table157[[#This Row],[Principal]]-Table157[[#This Row],[Prepayments]]-Table157[[#This Row],[Defaulted Principal]]</f>
        <v>0</v>
      </c>
      <c r="P97" s="32">
        <f>Table157[[#This Row],[Principal]]+Table157[[#This Row],[Interest]]+Table157[[#This Row],[Prepayments]]+Table157[[#This Row],[RecoveredAmount]]</f>
        <v>2921.94</v>
      </c>
      <c r="Q97" s="32">
        <f ca="1">ROUND(Table157[[#This Row],[Cash Flow]]/((1+ActualRateToUse)^(IF(ISNUMBER(SEARCH("Actual",$C$7)),Table157[[#This Row],[Running Total]]/365,Table157[[#This Row],[Period]]/12))),2)</f>
        <v>2302.77</v>
      </c>
      <c r="R97" s="4">
        <f>IF(MONTH(Table157[[#This Row],[Date]])=2,28,DAY(DATE(YEAR(Table157[[#This Row],[Date]]),MONTH(Table157[[#This Row],[Date]])+1,1)-1))</f>
        <v>31</v>
      </c>
      <c r="S97" s="4">
        <f ca="1">SUM(OFFSET(Table157[[#Headers],[Days in month]],1,0):Table157[[#This Row],[Days in month]])</f>
        <v>2464</v>
      </c>
      <c r="T97" s="30">
        <f>InterestRate*AmortizationMultiplier*IF(ISNUMBER(SEARCH("Actual",$C$7)),Table157[[#This Row],[Days in month]]/365,1/12)</f>
        <v>2.9708333333333331E-3</v>
      </c>
    </row>
    <row r="98" spans="2:20" x14ac:dyDescent="0.2">
      <c r="B98" s="41">
        <v>48334</v>
      </c>
      <c r="C98" s="4">
        <f t="shared" si="4"/>
        <v>82</v>
      </c>
      <c r="D98" s="32">
        <f t="shared" si="3"/>
        <v>0</v>
      </c>
      <c r="E98" s="32">
        <f>ROUND(Table157[[#This Row],[Beginning Balance]]*Table157[[#This Row],[Monthly Interest Rate]],2)</f>
        <v>0</v>
      </c>
      <c r="F98" s="32">
        <f t="shared" si="5"/>
        <v>174</v>
      </c>
      <c r="G98" s="45">
        <f>IFERROR(IF($C$13="No","N/A",IF(Table157[[#This Row],[Period]]=1,$C$6,PMT(InterestRate*AmortizationMultiplier/12,Table157[[#This Row],[Am Thru]],-Table157[[#This Row],[Beginning Balance]]))),0)</f>
        <v>0</v>
      </c>
      <c r="H98" s="32">
        <f>MAX(0,IF(C98=$C$4,D98,ROUND(IF($C$3="Fixed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8" s="32">
        <f>ROUND(Table157[[#This Row],[Defaulted Principal]]*IF($C$9="No",$E$4,VLOOKUP(Table157[[#This Row],[Period]],[1]Forecast!$H$2:$L$1048576,3,FALSE)),2)</f>
        <v>0</v>
      </c>
      <c r="L98" s="4">
        <f>Table157[[#This Row],[Period]]+$E$9</f>
        <v>94</v>
      </c>
      <c r="M98" s="32">
        <f>Table157[[#This Row],[Defaulted Principal]]-Table157[[#This Row],[Estimated Loss]]</f>
        <v>0</v>
      </c>
      <c r="N98" s="32">
        <f>IFERROR(VLOOKUP(Table157[[#This Row],[Period]],$L$16:$M$385,2,FALSE),0)</f>
        <v>2899.99</v>
      </c>
      <c r="O98" s="32">
        <f>Table157[[#This Row],[Beginning Balance]]-Table157[[#This Row],[Principal]]-Table157[[#This Row],[Prepayments]]-Table157[[#This Row],[Defaulted Principal]]</f>
        <v>0</v>
      </c>
      <c r="P98" s="32">
        <f>Table157[[#This Row],[Principal]]+Table157[[#This Row],[Interest]]+Table157[[#This Row],[Prepayments]]+Table157[[#This Row],[RecoveredAmount]]</f>
        <v>2899.99</v>
      </c>
      <c r="Q98" s="32">
        <f ca="1">ROUND(Table157[[#This Row],[Cash Flow]]/((1+ActualRateToUse)^(IF(ISNUMBER(SEARCH("Actual",$C$7)),Table157[[#This Row],[Running Total]]/365,Table157[[#This Row],[Period]]/12))),2)</f>
        <v>2278.86</v>
      </c>
      <c r="R98" s="4">
        <f>IF(MONTH(Table157[[#This Row],[Date]])=2,28,DAY(DATE(YEAR(Table157[[#This Row],[Date]]),MONTH(Table157[[#This Row],[Date]])+1,1)-1))</f>
        <v>30</v>
      </c>
      <c r="S98" s="4">
        <f ca="1">SUM(OFFSET(Table157[[#Headers],[Days in month]],1,0):Table157[[#This Row],[Days in month]])</f>
        <v>2494</v>
      </c>
      <c r="T98" s="30">
        <f>InterestRate*AmortizationMultiplier*IF(ISNUMBER(SEARCH("Actual",$C$7)),Table157[[#This Row],[Days in month]]/365,1/12)</f>
        <v>2.8749999999999995E-3</v>
      </c>
    </row>
    <row r="99" spans="2:20" x14ac:dyDescent="0.2">
      <c r="B99" s="41">
        <v>48365</v>
      </c>
      <c r="C99" s="4">
        <f t="shared" si="4"/>
        <v>83</v>
      </c>
      <c r="D99" s="32">
        <f t="shared" si="3"/>
        <v>0</v>
      </c>
      <c r="E99" s="32">
        <f>ROUND(Table157[[#This Row],[Beginning Balance]]*Table157[[#This Row],[Monthly Interest Rate]],2)</f>
        <v>0</v>
      </c>
      <c r="F99" s="32">
        <f t="shared" si="5"/>
        <v>173</v>
      </c>
      <c r="G99" s="45">
        <f>IFERROR(IF($C$13="No","N/A",IF(Table157[[#This Row],[Period]]=1,$C$6,PMT(InterestRate*AmortizationMultiplier/12,Table157[[#This Row],[Am Thru]],-Table157[[#This Row],[Beginning Balance]]))),0)</f>
        <v>0</v>
      </c>
      <c r="H99" s="32">
        <f>MAX(0,IF(C99=$C$4,D99,ROUND(IF($C$3="Fixed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9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9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99" s="32">
        <f>ROUND(Table157[[#This Row],[Defaulted Principal]]*IF($C$9="No",$E$4,VLOOKUP(Table157[[#This Row],[Period]],[1]Forecast!$H$2:$L$1048576,3,FALSE)),2)</f>
        <v>0</v>
      </c>
      <c r="L99" s="4">
        <f>Table157[[#This Row],[Period]]+$E$9</f>
        <v>95</v>
      </c>
      <c r="M99" s="32">
        <f>Table157[[#This Row],[Defaulted Principal]]-Table157[[#This Row],[Estimated Loss]]</f>
        <v>0</v>
      </c>
      <c r="N99" s="32">
        <f>IFERROR(VLOOKUP(Table157[[#This Row],[Period]],$L$16:$M$385,2,FALSE),0)</f>
        <v>2877.8500000000004</v>
      </c>
      <c r="O99" s="32">
        <f>Table157[[#This Row],[Beginning Balance]]-Table157[[#This Row],[Principal]]-Table157[[#This Row],[Prepayments]]-Table157[[#This Row],[Defaulted Principal]]</f>
        <v>0</v>
      </c>
      <c r="P99" s="32">
        <f>Table157[[#This Row],[Principal]]+Table157[[#This Row],[Interest]]+Table157[[#This Row],[Prepayments]]+Table157[[#This Row],[RecoveredAmount]]</f>
        <v>2877.8500000000004</v>
      </c>
      <c r="Q99" s="32">
        <f ca="1">ROUND(Table157[[#This Row],[Cash Flow]]/((1+ActualRateToUse)^(IF(ISNUMBER(SEARCH("Actual",$C$7)),Table157[[#This Row],[Running Total]]/365,Table157[[#This Row],[Period]]/12))),2)</f>
        <v>2254.6999999999998</v>
      </c>
      <c r="R99" s="4">
        <f>IF(MONTH(Table157[[#This Row],[Date]])=2,28,DAY(DATE(YEAR(Table157[[#This Row],[Date]]),MONTH(Table157[[#This Row],[Date]])+1,1)-1))</f>
        <v>31</v>
      </c>
      <c r="S99" s="4">
        <f ca="1">SUM(OFFSET(Table157[[#Headers],[Days in month]],1,0):Table157[[#This Row],[Days in month]])</f>
        <v>2525</v>
      </c>
      <c r="T99" s="30">
        <f>InterestRate*AmortizationMultiplier*IF(ISNUMBER(SEARCH("Actual",$C$7)),Table157[[#This Row],[Days in month]]/365,1/12)</f>
        <v>2.9708333333333331E-3</v>
      </c>
    </row>
    <row r="100" spans="2:20" x14ac:dyDescent="0.2">
      <c r="B100" s="41">
        <v>48395</v>
      </c>
      <c r="C100" s="4">
        <f t="shared" si="4"/>
        <v>84</v>
      </c>
      <c r="D100" s="32">
        <f t="shared" si="3"/>
        <v>0</v>
      </c>
      <c r="E100" s="32">
        <f>ROUND(Table157[[#This Row],[Beginning Balance]]*Table157[[#This Row],[Monthly Interest Rate]],2)</f>
        <v>0</v>
      </c>
      <c r="F100" s="32">
        <f t="shared" si="5"/>
        <v>172</v>
      </c>
      <c r="G100" s="45">
        <f>IFERROR(IF($C$13="No","N/A",IF(Table157[[#This Row],[Period]]=1,$C$6,PMT(InterestRate*AmortizationMultiplier/12,Table157[[#This Row],[Am Thru]],-Table157[[#This Row],[Beginning Balance]]))),0)</f>
        <v>0</v>
      </c>
      <c r="H100" s="32">
        <f>MAX(0,IF(C100=$C$4,D100,ROUND(IF($C$3="Fixed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0" s="32">
        <f>ROUND(Table157[[#This Row],[Defaulted Principal]]*IF($C$9="No",$E$4,VLOOKUP(Table157[[#This Row],[Period]],[1]Forecast!$H$2:$L$1048576,3,FALSE)),2)</f>
        <v>0</v>
      </c>
      <c r="L100" s="4">
        <f>Table157[[#This Row],[Period]]+$E$9</f>
        <v>96</v>
      </c>
      <c r="M100" s="32">
        <f>Table157[[#This Row],[Defaulted Principal]]-Table157[[#This Row],[Estimated Loss]]</f>
        <v>0</v>
      </c>
      <c r="N100" s="32">
        <f>IFERROR(VLOOKUP(Table157[[#This Row],[Period]],$L$16:$M$385,2,FALSE),0)</f>
        <v>2856.08</v>
      </c>
      <c r="O100" s="32">
        <f>Table157[[#This Row],[Beginning Balance]]-Table157[[#This Row],[Principal]]-Table157[[#This Row],[Prepayments]]-Table157[[#This Row],[Defaulted Principal]]</f>
        <v>0</v>
      </c>
      <c r="P100" s="32">
        <f>Table157[[#This Row],[Principal]]+Table157[[#This Row],[Interest]]+Table157[[#This Row],[Prepayments]]+Table157[[#This Row],[RecoveredAmount]]</f>
        <v>2856.08</v>
      </c>
      <c r="Q100" s="32">
        <f ca="1">ROUND(Table157[[#This Row],[Cash Flow]]/((1+ActualRateToUse)^(IF(ISNUMBER(SEARCH("Actual",$C$7)),Table157[[#This Row],[Running Total]]/365,Table157[[#This Row],[Period]]/12))),2)</f>
        <v>2231.16</v>
      </c>
      <c r="R100" s="4">
        <f>IF(MONTH(Table157[[#This Row],[Date]])=2,28,DAY(DATE(YEAR(Table157[[#This Row],[Date]]),MONTH(Table157[[#This Row],[Date]])+1,1)-1))</f>
        <v>30</v>
      </c>
      <c r="S100" s="4">
        <f ca="1">SUM(OFFSET(Table157[[#Headers],[Days in month]],1,0):Table157[[#This Row],[Days in month]])</f>
        <v>2555</v>
      </c>
      <c r="T100" s="30">
        <f>InterestRate*AmortizationMultiplier*IF(ISNUMBER(SEARCH("Actual",$C$7)),Table157[[#This Row],[Days in month]]/365,1/12)</f>
        <v>2.8749999999999995E-3</v>
      </c>
    </row>
    <row r="101" spans="2:20" x14ac:dyDescent="0.2">
      <c r="B101" s="41">
        <v>48426</v>
      </c>
      <c r="C101" s="4">
        <f t="shared" si="4"/>
        <v>85</v>
      </c>
      <c r="D101" s="32">
        <f t="shared" si="3"/>
        <v>0</v>
      </c>
      <c r="E101" s="32">
        <f>ROUND(Table157[[#This Row],[Beginning Balance]]*Table157[[#This Row],[Monthly Interest Rate]],2)</f>
        <v>0</v>
      </c>
      <c r="F101" s="32">
        <f t="shared" si="5"/>
        <v>171</v>
      </c>
      <c r="G101" s="45">
        <f>IFERROR(IF($C$13="No","N/A",IF(Table157[[#This Row],[Period]]=1,$C$6,PMT(InterestRate*AmortizationMultiplier/12,Table157[[#This Row],[Am Thru]],-Table157[[#This Row],[Beginning Balance]]))),0)</f>
        <v>0</v>
      </c>
      <c r="H101" s="32">
        <f>MAX(0,IF(C101=$C$4,D101,ROUND(IF($C$3="Fixed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1" s="32">
        <f>ROUND(Table157[[#This Row],[Defaulted Principal]]*IF($C$9="No",$E$4,VLOOKUP(Table157[[#This Row],[Period]],[1]Forecast!$H$2:$L$1048576,3,FALSE)),2)</f>
        <v>0</v>
      </c>
      <c r="L101" s="4">
        <f>Table157[[#This Row],[Period]]+$E$9</f>
        <v>97</v>
      </c>
      <c r="M101" s="32">
        <f>Table157[[#This Row],[Defaulted Principal]]-Table157[[#This Row],[Estimated Loss]]</f>
        <v>0</v>
      </c>
      <c r="N101" s="32">
        <f>IFERROR(VLOOKUP(Table157[[#This Row],[Period]],$L$16:$M$385,2,FALSE),0)</f>
        <v>2834.12</v>
      </c>
      <c r="O101" s="32">
        <f>Table157[[#This Row],[Beginning Balance]]-Table157[[#This Row],[Principal]]-Table157[[#This Row],[Prepayments]]-Table157[[#This Row],[Defaulted Principal]]</f>
        <v>0</v>
      </c>
      <c r="P101" s="32">
        <f>Table157[[#This Row],[Principal]]+Table157[[#This Row],[Interest]]+Table157[[#This Row],[Prepayments]]+Table157[[#This Row],[RecoveredAmount]]</f>
        <v>2834.12</v>
      </c>
      <c r="Q101" s="32">
        <f ca="1">ROUND(Table157[[#This Row],[Cash Flow]]/((1+ActualRateToUse)^(IF(ISNUMBER(SEARCH("Actual",$C$7)),Table157[[#This Row],[Running Total]]/365,Table157[[#This Row],[Period]]/12))),2)</f>
        <v>2207.38</v>
      </c>
      <c r="R101" s="4">
        <f>IF(MONTH(Table157[[#This Row],[Date]])=2,28,DAY(DATE(YEAR(Table157[[#This Row],[Date]]),MONTH(Table157[[#This Row],[Date]])+1,1)-1))</f>
        <v>31</v>
      </c>
      <c r="S101" s="4">
        <f ca="1">SUM(OFFSET(Table157[[#Headers],[Days in month]],1,0):Table157[[#This Row],[Days in month]])</f>
        <v>2586</v>
      </c>
      <c r="T101" s="30">
        <f>InterestRate*AmortizationMultiplier*IF(ISNUMBER(SEARCH("Actual",$C$7)),Table157[[#This Row],[Days in month]]/365,1/12)</f>
        <v>2.9708333333333331E-3</v>
      </c>
    </row>
    <row r="102" spans="2:20" x14ac:dyDescent="0.2">
      <c r="B102" s="41">
        <v>48457</v>
      </c>
      <c r="C102" s="4">
        <f t="shared" si="4"/>
        <v>86</v>
      </c>
      <c r="D102" s="32">
        <f t="shared" si="3"/>
        <v>0</v>
      </c>
      <c r="E102" s="32">
        <f>ROUND(Table157[[#This Row],[Beginning Balance]]*Table157[[#This Row],[Monthly Interest Rate]],2)</f>
        <v>0</v>
      </c>
      <c r="F102" s="32">
        <f t="shared" si="5"/>
        <v>170</v>
      </c>
      <c r="G102" s="45">
        <f>IFERROR(IF($C$13="No","N/A",IF(Table157[[#This Row],[Period]]=1,$C$6,PMT(InterestRate*AmortizationMultiplier/12,Table157[[#This Row],[Am Thru]],-Table157[[#This Row],[Beginning Balance]]))),0)</f>
        <v>0</v>
      </c>
      <c r="H102" s="32">
        <f>MAX(0,IF(C102=$C$4,D102,ROUND(IF($C$3="Fixed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2" s="32">
        <f>ROUND(Table157[[#This Row],[Defaulted Principal]]*IF($C$9="No",$E$4,VLOOKUP(Table157[[#This Row],[Period]],[1]Forecast!$H$2:$L$1048576,3,FALSE)),2)</f>
        <v>0</v>
      </c>
      <c r="L102" s="4">
        <f>Table157[[#This Row],[Period]]+$E$9</f>
        <v>98</v>
      </c>
      <c r="M102" s="32">
        <f>Table157[[#This Row],[Defaulted Principal]]-Table157[[#This Row],[Estimated Loss]]</f>
        <v>0</v>
      </c>
      <c r="N102" s="32">
        <f>IFERROR(VLOOKUP(Table157[[#This Row],[Period]],$L$16:$M$385,2,FALSE),0)</f>
        <v>2812.51</v>
      </c>
      <c r="O102" s="32">
        <f>Table157[[#This Row],[Beginning Balance]]-Table157[[#This Row],[Principal]]-Table157[[#This Row],[Prepayments]]-Table157[[#This Row],[Defaulted Principal]]</f>
        <v>0</v>
      </c>
      <c r="P102" s="32">
        <f>Table157[[#This Row],[Principal]]+Table157[[#This Row],[Interest]]+Table157[[#This Row],[Prepayments]]+Table157[[#This Row],[RecoveredAmount]]</f>
        <v>2812.51</v>
      </c>
      <c r="Q102" s="32">
        <f ca="1">ROUND(Table157[[#This Row],[Cash Flow]]/((1+ActualRateToUse)^(IF(ISNUMBER(SEARCH("Actual",$C$7)),Table157[[#This Row],[Running Total]]/365,Table157[[#This Row],[Period]]/12))),2)</f>
        <v>2184</v>
      </c>
      <c r="R102" s="4">
        <f>IF(MONTH(Table157[[#This Row],[Date]])=2,28,DAY(DATE(YEAR(Table157[[#This Row],[Date]]),MONTH(Table157[[#This Row],[Date]])+1,1)-1))</f>
        <v>31</v>
      </c>
      <c r="S102" s="4">
        <f ca="1">SUM(OFFSET(Table157[[#Headers],[Days in month]],1,0):Table157[[#This Row],[Days in month]])</f>
        <v>2617</v>
      </c>
      <c r="T102" s="30">
        <f>InterestRate*AmortizationMultiplier*IF(ISNUMBER(SEARCH("Actual",$C$7)),Table157[[#This Row],[Days in month]]/365,1/12)</f>
        <v>2.9708333333333331E-3</v>
      </c>
    </row>
    <row r="103" spans="2:20" x14ac:dyDescent="0.2">
      <c r="B103" s="41">
        <v>48487</v>
      </c>
      <c r="C103" s="4">
        <f t="shared" si="4"/>
        <v>87</v>
      </c>
      <c r="D103" s="32">
        <f t="shared" si="3"/>
        <v>0</v>
      </c>
      <c r="E103" s="32">
        <f>ROUND(Table157[[#This Row],[Beginning Balance]]*Table157[[#This Row],[Monthly Interest Rate]],2)</f>
        <v>0</v>
      </c>
      <c r="F103" s="32">
        <f t="shared" si="5"/>
        <v>169</v>
      </c>
      <c r="G103" s="45">
        <f>IFERROR(IF($C$13="No","N/A",IF(Table157[[#This Row],[Period]]=1,$C$6,PMT(InterestRate*AmortizationMultiplier/12,Table157[[#This Row],[Am Thru]],-Table157[[#This Row],[Beginning Balance]]))),0)</f>
        <v>0</v>
      </c>
      <c r="H103" s="32">
        <f>MAX(0,IF(C103=$C$4,D103,ROUND(IF($C$3="Fixed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3" s="32">
        <f>ROUND(Table157[[#This Row],[Defaulted Principal]]*IF($C$9="No",$E$4,VLOOKUP(Table157[[#This Row],[Period]],[1]Forecast!$H$2:$L$1048576,3,FALSE)),2)</f>
        <v>0</v>
      </c>
      <c r="L103" s="4">
        <f>Table157[[#This Row],[Period]]+$E$9</f>
        <v>99</v>
      </c>
      <c r="M103" s="32">
        <f>Table157[[#This Row],[Defaulted Principal]]-Table157[[#This Row],[Estimated Loss]]</f>
        <v>0</v>
      </c>
      <c r="N103" s="32">
        <f>IFERROR(VLOOKUP(Table157[[#This Row],[Period]],$L$16:$M$385,2,FALSE),0)</f>
        <v>0</v>
      </c>
      <c r="O103" s="32">
        <f>Table157[[#This Row],[Beginning Balance]]-Table157[[#This Row],[Principal]]-Table157[[#This Row],[Prepayments]]-Table157[[#This Row],[Defaulted Principal]]</f>
        <v>0</v>
      </c>
      <c r="P103" s="32">
        <f>Table157[[#This Row],[Principal]]+Table157[[#This Row],[Interest]]+Table157[[#This Row],[Prepayments]]+Table157[[#This Row],[RecoveredAmount]]</f>
        <v>0</v>
      </c>
      <c r="Q103" s="32">
        <f ca="1">ROUND(Table157[[#This Row],[Cash Flow]]/((1+ActualRateToUse)^(IF(ISNUMBER(SEARCH("Actual",$C$7)),Table157[[#This Row],[Running Total]]/365,Table157[[#This Row],[Period]]/12))),2)</f>
        <v>0</v>
      </c>
      <c r="R103" s="4">
        <f>IF(MONTH(Table157[[#This Row],[Date]])=2,28,DAY(DATE(YEAR(Table157[[#This Row],[Date]]),MONTH(Table157[[#This Row],[Date]])+1,1)-1))</f>
        <v>30</v>
      </c>
      <c r="S103" s="4">
        <f ca="1">SUM(OFFSET(Table157[[#Headers],[Days in month]],1,0):Table157[[#This Row],[Days in month]])</f>
        <v>2647</v>
      </c>
      <c r="T103" s="30">
        <f>InterestRate*AmortizationMultiplier*IF(ISNUMBER(SEARCH("Actual",$C$7)),Table157[[#This Row],[Days in month]]/365,1/12)</f>
        <v>2.8749999999999995E-3</v>
      </c>
    </row>
    <row r="104" spans="2:20" x14ac:dyDescent="0.2">
      <c r="B104" s="41">
        <v>48518</v>
      </c>
      <c r="C104" s="4">
        <f t="shared" si="4"/>
        <v>88</v>
      </c>
      <c r="D104" s="32">
        <f t="shared" si="3"/>
        <v>0</v>
      </c>
      <c r="E104" s="32">
        <f>ROUND(Table157[[#This Row],[Beginning Balance]]*Table157[[#This Row],[Monthly Interest Rate]],2)</f>
        <v>0</v>
      </c>
      <c r="F104" s="32">
        <f t="shared" si="5"/>
        <v>168</v>
      </c>
      <c r="G104" s="45">
        <f>IFERROR(IF($C$13="No","N/A",IF(Table157[[#This Row],[Period]]=1,$C$6,PMT(InterestRate*AmortizationMultiplier/12,Table157[[#This Row],[Am Thru]],-Table157[[#This Row],[Beginning Balance]]))),0)</f>
        <v>0</v>
      </c>
      <c r="H104" s="32">
        <f>MAX(0,IF(C104=$C$4,D104,ROUND(IF($C$3="Fixed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4" s="32">
        <f>ROUND(Table157[[#This Row],[Defaulted Principal]]*IF($C$9="No",$E$4,VLOOKUP(Table157[[#This Row],[Period]],[1]Forecast!$H$2:$L$1048576,3,FALSE)),2)</f>
        <v>0</v>
      </c>
      <c r="L104" s="4">
        <f>Table157[[#This Row],[Period]]+$E$9</f>
        <v>100</v>
      </c>
      <c r="M104" s="32">
        <f>Table157[[#This Row],[Defaulted Principal]]-Table157[[#This Row],[Estimated Loss]]</f>
        <v>0</v>
      </c>
      <c r="N104" s="32">
        <f>IFERROR(VLOOKUP(Table157[[#This Row],[Period]],$L$16:$M$385,2,FALSE),0)</f>
        <v>0</v>
      </c>
      <c r="O104" s="32">
        <f>Table157[[#This Row],[Beginning Balance]]-Table157[[#This Row],[Principal]]-Table157[[#This Row],[Prepayments]]-Table157[[#This Row],[Defaulted Principal]]</f>
        <v>0</v>
      </c>
      <c r="P104" s="32">
        <f>Table157[[#This Row],[Principal]]+Table157[[#This Row],[Interest]]+Table157[[#This Row],[Prepayments]]+Table157[[#This Row],[RecoveredAmount]]</f>
        <v>0</v>
      </c>
      <c r="Q104" s="32">
        <f ca="1">ROUND(Table157[[#This Row],[Cash Flow]]/((1+ActualRateToUse)^(IF(ISNUMBER(SEARCH("Actual",$C$7)),Table157[[#This Row],[Running Total]]/365,Table157[[#This Row],[Period]]/12))),2)</f>
        <v>0</v>
      </c>
      <c r="R104" s="4">
        <f>IF(MONTH(Table157[[#This Row],[Date]])=2,28,DAY(DATE(YEAR(Table157[[#This Row],[Date]]),MONTH(Table157[[#This Row],[Date]])+1,1)-1))</f>
        <v>31</v>
      </c>
      <c r="S104" s="4">
        <f ca="1">SUM(OFFSET(Table157[[#Headers],[Days in month]],1,0):Table157[[#This Row],[Days in month]])</f>
        <v>2678</v>
      </c>
      <c r="T104" s="30">
        <f>InterestRate*AmortizationMultiplier*IF(ISNUMBER(SEARCH("Actual",$C$7)),Table157[[#This Row],[Days in month]]/365,1/12)</f>
        <v>2.9708333333333331E-3</v>
      </c>
    </row>
    <row r="105" spans="2:20" x14ac:dyDescent="0.2">
      <c r="B105" s="41">
        <v>48548</v>
      </c>
      <c r="C105" s="4">
        <f t="shared" si="4"/>
        <v>89</v>
      </c>
      <c r="D105" s="32">
        <f t="shared" si="3"/>
        <v>0</v>
      </c>
      <c r="E105" s="32">
        <f>ROUND(Table157[[#This Row],[Beginning Balance]]*Table157[[#This Row],[Monthly Interest Rate]],2)</f>
        <v>0</v>
      </c>
      <c r="F105" s="32">
        <f t="shared" si="5"/>
        <v>167</v>
      </c>
      <c r="G105" s="45">
        <f>IFERROR(IF($C$13="No","N/A",IF(Table157[[#This Row],[Period]]=1,$C$6,PMT(InterestRate*AmortizationMultiplier/12,Table157[[#This Row],[Am Thru]],-Table157[[#This Row],[Beginning Balance]]))),0)</f>
        <v>0</v>
      </c>
      <c r="H105" s="32">
        <f>MAX(0,IF(C105=$C$4,D105,ROUND(IF($C$3="Fixed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5" s="32">
        <f>ROUND(Table157[[#This Row],[Defaulted Principal]]*IF($C$9="No",$E$4,VLOOKUP(Table157[[#This Row],[Period]],[1]Forecast!$H$2:$L$1048576,3,FALSE)),2)</f>
        <v>0</v>
      </c>
      <c r="L105" s="4">
        <f>Table157[[#This Row],[Period]]+$E$9</f>
        <v>101</v>
      </c>
      <c r="M105" s="32">
        <f>Table157[[#This Row],[Defaulted Principal]]-Table157[[#This Row],[Estimated Loss]]</f>
        <v>0</v>
      </c>
      <c r="N105" s="32">
        <f>IFERROR(VLOOKUP(Table157[[#This Row],[Period]],$L$16:$M$385,2,FALSE),0)</f>
        <v>0</v>
      </c>
      <c r="O105" s="32">
        <f>Table157[[#This Row],[Beginning Balance]]-Table157[[#This Row],[Principal]]-Table157[[#This Row],[Prepayments]]-Table157[[#This Row],[Defaulted Principal]]</f>
        <v>0</v>
      </c>
      <c r="P105" s="32">
        <f>Table157[[#This Row],[Principal]]+Table157[[#This Row],[Interest]]+Table157[[#This Row],[Prepayments]]+Table157[[#This Row],[RecoveredAmount]]</f>
        <v>0</v>
      </c>
      <c r="Q105" s="32">
        <f ca="1">ROUND(Table157[[#This Row],[Cash Flow]]/((1+ActualRateToUse)^(IF(ISNUMBER(SEARCH("Actual",$C$7)),Table157[[#This Row],[Running Total]]/365,Table157[[#This Row],[Period]]/12))),2)</f>
        <v>0</v>
      </c>
      <c r="R105" s="4">
        <f>IF(MONTH(Table157[[#This Row],[Date]])=2,28,DAY(DATE(YEAR(Table157[[#This Row],[Date]]),MONTH(Table157[[#This Row],[Date]])+1,1)-1))</f>
        <v>30</v>
      </c>
      <c r="S105" s="4">
        <f ca="1">SUM(OFFSET(Table157[[#Headers],[Days in month]],1,0):Table157[[#This Row],[Days in month]])</f>
        <v>2708</v>
      </c>
      <c r="T105" s="30">
        <f>InterestRate*AmortizationMultiplier*IF(ISNUMBER(SEARCH("Actual",$C$7)),Table157[[#This Row],[Days in month]]/365,1/12)</f>
        <v>2.8749999999999995E-3</v>
      </c>
    </row>
    <row r="106" spans="2:20" x14ac:dyDescent="0.2">
      <c r="B106" s="41">
        <v>48579</v>
      </c>
      <c r="C106" s="4">
        <f t="shared" si="4"/>
        <v>90</v>
      </c>
      <c r="D106" s="32">
        <f t="shared" si="3"/>
        <v>0</v>
      </c>
      <c r="E106" s="32">
        <f>ROUND(Table157[[#This Row],[Beginning Balance]]*Table157[[#This Row],[Monthly Interest Rate]],2)</f>
        <v>0</v>
      </c>
      <c r="F106" s="32">
        <f t="shared" si="5"/>
        <v>166</v>
      </c>
      <c r="G106" s="45">
        <f>IFERROR(IF($C$13="No","N/A",IF(Table157[[#This Row],[Period]]=1,$C$6,PMT(InterestRate*AmortizationMultiplier/12,Table157[[#This Row],[Am Thru]],-Table157[[#This Row],[Beginning Balance]]))),0)</f>
        <v>0</v>
      </c>
      <c r="H106" s="32">
        <f>MAX(0,IF(C106=$C$4,D106,ROUND(IF($C$3="Fixed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6" s="32">
        <f>ROUND(Table157[[#This Row],[Defaulted Principal]]*IF($C$9="No",$E$4,VLOOKUP(Table157[[#This Row],[Period]],[1]Forecast!$H$2:$L$1048576,3,FALSE)),2)</f>
        <v>0</v>
      </c>
      <c r="L106" s="4">
        <f>Table157[[#This Row],[Period]]+$E$9</f>
        <v>102</v>
      </c>
      <c r="M106" s="32">
        <f>Table157[[#This Row],[Defaulted Principal]]-Table157[[#This Row],[Estimated Loss]]</f>
        <v>0</v>
      </c>
      <c r="N106" s="32">
        <f>IFERROR(VLOOKUP(Table157[[#This Row],[Period]],$L$16:$M$385,2,FALSE),0)</f>
        <v>0</v>
      </c>
      <c r="O106" s="32">
        <f>Table157[[#This Row],[Beginning Balance]]-Table157[[#This Row],[Principal]]-Table157[[#This Row],[Prepayments]]-Table157[[#This Row],[Defaulted Principal]]</f>
        <v>0</v>
      </c>
      <c r="P106" s="32">
        <f>Table157[[#This Row],[Principal]]+Table157[[#This Row],[Interest]]+Table157[[#This Row],[Prepayments]]+Table157[[#This Row],[RecoveredAmount]]</f>
        <v>0</v>
      </c>
      <c r="Q106" s="32">
        <f ca="1">ROUND(Table157[[#This Row],[Cash Flow]]/((1+ActualRateToUse)^(IF(ISNUMBER(SEARCH("Actual",$C$7)),Table157[[#This Row],[Running Total]]/365,Table157[[#This Row],[Period]]/12))),2)</f>
        <v>0</v>
      </c>
      <c r="R106" s="4">
        <f>IF(MONTH(Table157[[#This Row],[Date]])=2,28,DAY(DATE(YEAR(Table157[[#This Row],[Date]]),MONTH(Table157[[#This Row],[Date]])+1,1)-1))</f>
        <v>31</v>
      </c>
      <c r="S106" s="4">
        <f ca="1">SUM(OFFSET(Table157[[#Headers],[Days in month]],1,0):Table157[[#This Row],[Days in month]])</f>
        <v>2739</v>
      </c>
      <c r="T106" s="30">
        <f>InterestRate*AmortizationMultiplier*IF(ISNUMBER(SEARCH("Actual",$C$7)),Table157[[#This Row],[Days in month]]/365,1/12)</f>
        <v>2.9708333333333331E-3</v>
      </c>
    </row>
    <row r="107" spans="2:20" x14ac:dyDescent="0.2">
      <c r="B107" s="41">
        <v>48610</v>
      </c>
      <c r="C107" s="4">
        <f t="shared" si="4"/>
        <v>91</v>
      </c>
      <c r="D107" s="32">
        <f t="shared" si="3"/>
        <v>0</v>
      </c>
      <c r="E107" s="32">
        <f>ROUND(Table157[[#This Row],[Beginning Balance]]*Table157[[#This Row],[Monthly Interest Rate]],2)</f>
        <v>0</v>
      </c>
      <c r="F107" s="32">
        <f t="shared" si="5"/>
        <v>165</v>
      </c>
      <c r="G107" s="45">
        <f>IFERROR(IF($C$13="No","N/A",IF(Table157[[#This Row],[Period]]=1,$C$6,PMT(InterestRate*AmortizationMultiplier/12,Table157[[#This Row],[Am Thru]],-Table157[[#This Row],[Beginning Balance]]))),0)</f>
        <v>0</v>
      </c>
      <c r="H107" s="32">
        <f>MAX(0,IF(C107=$C$4,D107,ROUND(IF($C$3="Fixed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7" s="32">
        <f>ROUND(Table157[[#This Row],[Defaulted Principal]]*IF($C$9="No",$E$4,VLOOKUP(Table157[[#This Row],[Period]],[1]Forecast!$H$2:$L$1048576,3,FALSE)),2)</f>
        <v>0</v>
      </c>
      <c r="L107" s="4">
        <f>Table157[[#This Row],[Period]]+$E$9</f>
        <v>103</v>
      </c>
      <c r="M107" s="32">
        <f>Table157[[#This Row],[Defaulted Principal]]-Table157[[#This Row],[Estimated Loss]]</f>
        <v>0</v>
      </c>
      <c r="N107" s="32">
        <f>IFERROR(VLOOKUP(Table157[[#This Row],[Period]],$L$16:$M$385,2,FALSE),0)</f>
        <v>0</v>
      </c>
      <c r="O107" s="32">
        <f>Table157[[#This Row],[Beginning Balance]]-Table157[[#This Row],[Principal]]-Table157[[#This Row],[Prepayments]]-Table157[[#This Row],[Defaulted Principal]]</f>
        <v>0</v>
      </c>
      <c r="P107" s="32">
        <f>Table157[[#This Row],[Principal]]+Table157[[#This Row],[Interest]]+Table157[[#This Row],[Prepayments]]+Table157[[#This Row],[RecoveredAmount]]</f>
        <v>0</v>
      </c>
      <c r="Q107" s="32">
        <f ca="1">ROUND(Table157[[#This Row],[Cash Flow]]/((1+ActualRateToUse)^(IF(ISNUMBER(SEARCH("Actual",$C$7)),Table157[[#This Row],[Running Total]]/365,Table157[[#This Row],[Period]]/12))),2)</f>
        <v>0</v>
      </c>
      <c r="R107" s="4">
        <f>IF(MONTH(Table157[[#This Row],[Date]])=2,28,DAY(DATE(YEAR(Table157[[#This Row],[Date]]),MONTH(Table157[[#This Row],[Date]])+1,1)-1))</f>
        <v>31</v>
      </c>
      <c r="S107" s="4">
        <f ca="1">SUM(OFFSET(Table157[[#Headers],[Days in month]],1,0):Table157[[#This Row],[Days in month]])</f>
        <v>2770</v>
      </c>
      <c r="T107" s="30">
        <f>InterestRate*AmortizationMultiplier*IF(ISNUMBER(SEARCH("Actual",$C$7)),Table157[[#This Row],[Days in month]]/365,1/12)</f>
        <v>2.9708333333333331E-3</v>
      </c>
    </row>
    <row r="108" spans="2:20" x14ac:dyDescent="0.2">
      <c r="B108" s="41">
        <v>48638</v>
      </c>
      <c r="C108" s="4">
        <f t="shared" si="4"/>
        <v>92</v>
      </c>
      <c r="D108" s="32">
        <f t="shared" si="3"/>
        <v>0</v>
      </c>
      <c r="E108" s="32">
        <f>ROUND(Table157[[#This Row],[Beginning Balance]]*Table157[[#This Row],[Monthly Interest Rate]],2)</f>
        <v>0</v>
      </c>
      <c r="F108" s="32">
        <f t="shared" si="5"/>
        <v>164</v>
      </c>
      <c r="G108" s="45">
        <f>IFERROR(IF($C$13="No","N/A",IF(Table157[[#This Row],[Period]]=1,$C$6,PMT(InterestRate*AmortizationMultiplier/12,Table157[[#This Row],[Am Thru]],-Table157[[#This Row],[Beginning Balance]]))),0)</f>
        <v>0</v>
      </c>
      <c r="H108" s="32">
        <f>MAX(0,IF(C108=$C$4,D108,ROUND(IF($C$3="Fixed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8" s="32">
        <f>ROUND(Table157[[#This Row],[Defaulted Principal]]*IF($C$9="No",$E$4,VLOOKUP(Table157[[#This Row],[Period]],[1]Forecast!$H$2:$L$1048576,3,FALSE)),2)</f>
        <v>0</v>
      </c>
      <c r="L108" s="4">
        <f>Table157[[#This Row],[Period]]+$E$9</f>
        <v>104</v>
      </c>
      <c r="M108" s="32">
        <f>Table157[[#This Row],[Defaulted Principal]]-Table157[[#This Row],[Estimated Loss]]</f>
        <v>0</v>
      </c>
      <c r="N108" s="32">
        <f>IFERROR(VLOOKUP(Table157[[#This Row],[Period]],$L$16:$M$385,2,FALSE),0)</f>
        <v>0</v>
      </c>
      <c r="O108" s="32">
        <f>Table157[[#This Row],[Beginning Balance]]-Table157[[#This Row],[Principal]]-Table157[[#This Row],[Prepayments]]-Table157[[#This Row],[Defaulted Principal]]</f>
        <v>0</v>
      </c>
      <c r="P108" s="32">
        <f>Table157[[#This Row],[Principal]]+Table157[[#This Row],[Interest]]+Table157[[#This Row],[Prepayments]]+Table157[[#This Row],[RecoveredAmount]]</f>
        <v>0</v>
      </c>
      <c r="Q108" s="32">
        <f ca="1">ROUND(Table157[[#This Row],[Cash Flow]]/((1+ActualRateToUse)^(IF(ISNUMBER(SEARCH("Actual",$C$7)),Table157[[#This Row],[Running Total]]/365,Table157[[#This Row],[Period]]/12))),2)</f>
        <v>0</v>
      </c>
      <c r="R108" s="4">
        <f>IF(MONTH(Table157[[#This Row],[Date]])=2,28,DAY(DATE(YEAR(Table157[[#This Row],[Date]]),MONTH(Table157[[#This Row],[Date]])+1,1)-1))</f>
        <v>28</v>
      </c>
      <c r="S108" s="4">
        <f ca="1">SUM(OFFSET(Table157[[#Headers],[Days in month]],1,0):Table157[[#This Row],[Days in month]])</f>
        <v>2798</v>
      </c>
      <c r="T108" s="30">
        <f>InterestRate*AmortizationMultiplier*IF(ISNUMBER(SEARCH("Actual",$C$7)),Table157[[#This Row],[Days in month]]/365,1/12)</f>
        <v>2.6833333333333336E-3</v>
      </c>
    </row>
    <row r="109" spans="2:20" x14ac:dyDescent="0.2">
      <c r="B109" s="41">
        <v>48669</v>
      </c>
      <c r="C109" s="4">
        <f t="shared" si="4"/>
        <v>93</v>
      </c>
      <c r="D109" s="32">
        <f t="shared" si="3"/>
        <v>0</v>
      </c>
      <c r="E109" s="32">
        <f>ROUND(Table157[[#This Row],[Beginning Balance]]*Table157[[#This Row],[Monthly Interest Rate]],2)</f>
        <v>0</v>
      </c>
      <c r="F109" s="32">
        <f t="shared" si="5"/>
        <v>163</v>
      </c>
      <c r="G109" s="45">
        <f>IFERROR(IF($C$13="No","N/A",IF(Table157[[#This Row],[Period]]=1,$C$6,PMT(InterestRate*AmortizationMultiplier/12,Table157[[#This Row],[Am Thru]],-Table157[[#This Row],[Beginning Balance]]))),0)</f>
        <v>0</v>
      </c>
      <c r="H109" s="32">
        <f>MAX(0,IF(C109=$C$4,D109,ROUND(IF($C$3="Fixed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0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0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09" s="32">
        <f>ROUND(Table157[[#This Row],[Defaulted Principal]]*IF($C$9="No",$E$4,VLOOKUP(Table157[[#This Row],[Period]],[1]Forecast!$H$2:$L$1048576,3,FALSE)),2)</f>
        <v>0</v>
      </c>
      <c r="L109" s="4">
        <f>Table157[[#This Row],[Period]]+$E$9</f>
        <v>105</v>
      </c>
      <c r="M109" s="32">
        <f>Table157[[#This Row],[Defaulted Principal]]-Table157[[#This Row],[Estimated Loss]]</f>
        <v>0</v>
      </c>
      <c r="N109" s="32">
        <f>IFERROR(VLOOKUP(Table157[[#This Row],[Period]],$L$16:$M$385,2,FALSE),0)</f>
        <v>0</v>
      </c>
      <c r="O109" s="32">
        <f>Table157[[#This Row],[Beginning Balance]]-Table157[[#This Row],[Principal]]-Table157[[#This Row],[Prepayments]]-Table157[[#This Row],[Defaulted Principal]]</f>
        <v>0</v>
      </c>
      <c r="P109" s="32">
        <f>Table157[[#This Row],[Principal]]+Table157[[#This Row],[Interest]]+Table157[[#This Row],[Prepayments]]+Table157[[#This Row],[RecoveredAmount]]</f>
        <v>0</v>
      </c>
      <c r="Q109" s="32">
        <f ca="1">ROUND(Table157[[#This Row],[Cash Flow]]/((1+ActualRateToUse)^(IF(ISNUMBER(SEARCH("Actual",$C$7)),Table157[[#This Row],[Running Total]]/365,Table157[[#This Row],[Period]]/12))),2)</f>
        <v>0</v>
      </c>
      <c r="R109" s="4">
        <f>IF(MONTH(Table157[[#This Row],[Date]])=2,28,DAY(DATE(YEAR(Table157[[#This Row],[Date]]),MONTH(Table157[[#This Row],[Date]])+1,1)-1))</f>
        <v>31</v>
      </c>
      <c r="S109" s="4">
        <f ca="1">SUM(OFFSET(Table157[[#Headers],[Days in month]],1,0):Table157[[#This Row],[Days in month]])</f>
        <v>2829</v>
      </c>
      <c r="T109" s="30">
        <f>InterestRate*AmortizationMultiplier*IF(ISNUMBER(SEARCH("Actual",$C$7)),Table157[[#This Row],[Days in month]]/365,1/12)</f>
        <v>2.9708333333333331E-3</v>
      </c>
    </row>
    <row r="110" spans="2:20" x14ac:dyDescent="0.2">
      <c r="B110" s="41">
        <v>48699</v>
      </c>
      <c r="C110" s="4">
        <f t="shared" si="4"/>
        <v>94</v>
      </c>
      <c r="D110" s="32">
        <f t="shared" si="3"/>
        <v>0</v>
      </c>
      <c r="E110" s="32">
        <f>ROUND(Table157[[#This Row],[Beginning Balance]]*Table157[[#This Row],[Monthly Interest Rate]],2)</f>
        <v>0</v>
      </c>
      <c r="F110" s="32">
        <f t="shared" si="5"/>
        <v>162</v>
      </c>
      <c r="G110" s="45">
        <f>IFERROR(IF($C$13="No","N/A",IF(Table157[[#This Row],[Period]]=1,$C$6,PMT(InterestRate*AmortizationMultiplier/12,Table157[[#This Row],[Am Thru]],-Table157[[#This Row],[Beginning Balance]]))),0)</f>
        <v>0</v>
      </c>
      <c r="H110" s="32">
        <f>MAX(0,IF(C110=$C$4,D110,ROUND(IF($C$3="Fixed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0" s="32">
        <f>ROUND(Table157[[#This Row],[Defaulted Principal]]*IF($C$9="No",$E$4,VLOOKUP(Table157[[#This Row],[Period]],[1]Forecast!$H$2:$L$1048576,3,FALSE)),2)</f>
        <v>0</v>
      </c>
      <c r="L110" s="4">
        <f>Table157[[#This Row],[Period]]+$E$9</f>
        <v>106</v>
      </c>
      <c r="M110" s="32">
        <f>Table157[[#This Row],[Defaulted Principal]]-Table157[[#This Row],[Estimated Loss]]</f>
        <v>0</v>
      </c>
      <c r="N110" s="32">
        <f>IFERROR(VLOOKUP(Table157[[#This Row],[Period]],$L$16:$M$385,2,FALSE),0)</f>
        <v>0</v>
      </c>
      <c r="O110" s="32">
        <f>Table157[[#This Row],[Beginning Balance]]-Table157[[#This Row],[Principal]]-Table157[[#This Row],[Prepayments]]-Table157[[#This Row],[Defaulted Principal]]</f>
        <v>0</v>
      </c>
      <c r="P110" s="32">
        <f>Table157[[#This Row],[Principal]]+Table157[[#This Row],[Interest]]+Table157[[#This Row],[Prepayments]]+Table157[[#This Row],[RecoveredAmount]]</f>
        <v>0</v>
      </c>
      <c r="Q110" s="32">
        <f ca="1">ROUND(Table157[[#This Row],[Cash Flow]]/((1+ActualRateToUse)^(IF(ISNUMBER(SEARCH("Actual",$C$7)),Table157[[#This Row],[Running Total]]/365,Table157[[#This Row],[Period]]/12))),2)</f>
        <v>0</v>
      </c>
      <c r="R110" s="4">
        <f>IF(MONTH(Table157[[#This Row],[Date]])=2,28,DAY(DATE(YEAR(Table157[[#This Row],[Date]]),MONTH(Table157[[#This Row],[Date]])+1,1)-1))</f>
        <v>30</v>
      </c>
      <c r="S110" s="4">
        <f ca="1">SUM(OFFSET(Table157[[#Headers],[Days in month]],1,0):Table157[[#This Row],[Days in month]])</f>
        <v>2859</v>
      </c>
      <c r="T110" s="30">
        <f>InterestRate*AmortizationMultiplier*IF(ISNUMBER(SEARCH("Actual",$C$7)),Table157[[#This Row],[Days in month]]/365,1/12)</f>
        <v>2.8749999999999995E-3</v>
      </c>
    </row>
    <row r="111" spans="2:20" x14ac:dyDescent="0.2">
      <c r="B111" s="41">
        <v>48730</v>
      </c>
      <c r="C111" s="4">
        <f t="shared" si="4"/>
        <v>95</v>
      </c>
      <c r="D111" s="32">
        <f t="shared" si="3"/>
        <v>0</v>
      </c>
      <c r="E111" s="32">
        <f>ROUND(Table157[[#This Row],[Beginning Balance]]*Table157[[#This Row],[Monthly Interest Rate]],2)</f>
        <v>0</v>
      </c>
      <c r="F111" s="32">
        <f t="shared" si="5"/>
        <v>161</v>
      </c>
      <c r="G111" s="45">
        <f>IFERROR(IF($C$13="No","N/A",IF(Table157[[#This Row],[Period]]=1,$C$6,PMT(InterestRate*AmortizationMultiplier/12,Table157[[#This Row],[Am Thru]],-Table157[[#This Row],[Beginning Balance]]))),0)</f>
        <v>0</v>
      </c>
      <c r="H111" s="32">
        <f>MAX(0,IF(C111=$C$4,D111,ROUND(IF($C$3="Fixed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1" s="32">
        <f>ROUND(Table157[[#This Row],[Defaulted Principal]]*IF($C$9="No",$E$4,VLOOKUP(Table157[[#This Row],[Period]],[1]Forecast!$H$2:$L$1048576,3,FALSE)),2)</f>
        <v>0</v>
      </c>
      <c r="L111" s="4">
        <f>Table157[[#This Row],[Period]]+$E$9</f>
        <v>107</v>
      </c>
      <c r="M111" s="32">
        <f>Table157[[#This Row],[Defaulted Principal]]-Table157[[#This Row],[Estimated Loss]]</f>
        <v>0</v>
      </c>
      <c r="N111" s="32">
        <f>IFERROR(VLOOKUP(Table157[[#This Row],[Period]],$L$16:$M$385,2,FALSE),0)</f>
        <v>0</v>
      </c>
      <c r="O111" s="32">
        <f>Table157[[#This Row],[Beginning Balance]]-Table157[[#This Row],[Principal]]-Table157[[#This Row],[Prepayments]]-Table157[[#This Row],[Defaulted Principal]]</f>
        <v>0</v>
      </c>
      <c r="P111" s="32">
        <f>Table157[[#This Row],[Principal]]+Table157[[#This Row],[Interest]]+Table157[[#This Row],[Prepayments]]+Table157[[#This Row],[RecoveredAmount]]</f>
        <v>0</v>
      </c>
      <c r="Q111" s="32">
        <f ca="1">ROUND(Table157[[#This Row],[Cash Flow]]/((1+ActualRateToUse)^(IF(ISNUMBER(SEARCH("Actual",$C$7)),Table157[[#This Row],[Running Total]]/365,Table157[[#This Row],[Period]]/12))),2)</f>
        <v>0</v>
      </c>
      <c r="R111" s="4">
        <f>IF(MONTH(Table157[[#This Row],[Date]])=2,28,DAY(DATE(YEAR(Table157[[#This Row],[Date]]),MONTH(Table157[[#This Row],[Date]])+1,1)-1))</f>
        <v>31</v>
      </c>
      <c r="S111" s="4">
        <f ca="1">SUM(OFFSET(Table157[[#Headers],[Days in month]],1,0):Table157[[#This Row],[Days in month]])</f>
        <v>2890</v>
      </c>
      <c r="T111" s="30">
        <f>InterestRate*AmortizationMultiplier*IF(ISNUMBER(SEARCH("Actual",$C$7)),Table157[[#This Row],[Days in month]]/365,1/12)</f>
        <v>2.9708333333333331E-3</v>
      </c>
    </row>
    <row r="112" spans="2:20" x14ac:dyDescent="0.2">
      <c r="B112" s="41">
        <v>48760</v>
      </c>
      <c r="C112" s="4">
        <f t="shared" si="4"/>
        <v>96</v>
      </c>
      <c r="D112" s="32">
        <f t="shared" si="3"/>
        <v>0</v>
      </c>
      <c r="E112" s="32">
        <f>ROUND(Table157[[#This Row],[Beginning Balance]]*Table157[[#This Row],[Monthly Interest Rate]],2)</f>
        <v>0</v>
      </c>
      <c r="F112" s="32">
        <f t="shared" si="5"/>
        <v>160</v>
      </c>
      <c r="G112" s="45">
        <f>IFERROR(IF($C$13="No","N/A",IF(Table157[[#This Row],[Period]]=1,$C$6,PMT(InterestRate*AmortizationMultiplier/12,Table157[[#This Row],[Am Thru]],-Table157[[#This Row],[Beginning Balance]]))),0)</f>
        <v>0</v>
      </c>
      <c r="H112" s="32">
        <f>MAX(0,IF(C112=$C$4,D112,ROUND(IF($C$3="Fixed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2" s="32">
        <f>ROUND(Table157[[#This Row],[Defaulted Principal]]*IF($C$9="No",$E$4,VLOOKUP(Table157[[#This Row],[Period]],[1]Forecast!$H$2:$L$1048576,3,FALSE)),2)</f>
        <v>0</v>
      </c>
      <c r="L112" s="4">
        <f>Table157[[#This Row],[Period]]+$E$9</f>
        <v>108</v>
      </c>
      <c r="M112" s="32">
        <f>Table157[[#This Row],[Defaulted Principal]]-Table157[[#This Row],[Estimated Loss]]</f>
        <v>0</v>
      </c>
      <c r="N112" s="32">
        <f>IFERROR(VLOOKUP(Table157[[#This Row],[Period]],$L$16:$M$385,2,FALSE),0)</f>
        <v>0</v>
      </c>
      <c r="O112" s="32">
        <f>Table157[[#This Row],[Beginning Balance]]-Table157[[#This Row],[Principal]]-Table157[[#This Row],[Prepayments]]-Table157[[#This Row],[Defaulted Principal]]</f>
        <v>0</v>
      </c>
      <c r="P112" s="32">
        <f>Table157[[#This Row],[Principal]]+Table157[[#This Row],[Interest]]+Table157[[#This Row],[Prepayments]]+Table157[[#This Row],[RecoveredAmount]]</f>
        <v>0</v>
      </c>
      <c r="Q112" s="32">
        <f ca="1">ROUND(Table157[[#This Row],[Cash Flow]]/((1+ActualRateToUse)^(IF(ISNUMBER(SEARCH("Actual",$C$7)),Table157[[#This Row],[Running Total]]/365,Table157[[#This Row],[Period]]/12))),2)</f>
        <v>0</v>
      </c>
      <c r="R112" s="4">
        <f>IF(MONTH(Table157[[#This Row],[Date]])=2,28,DAY(DATE(YEAR(Table157[[#This Row],[Date]]),MONTH(Table157[[#This Row],[Date]])+1,1)-1))</f>
        <v>30</v>
      </c>
      <c r="S112" s="4">
        <f ca="1">SUM(OFFSET(Table157[[#Headers],[Days in month]],1,0):Table157[[#This Row],[Days in month]])</f>
        <v>2920</v>
      </c>
      <c r="T112" s="30">
        <f>InterestRate*AmortizationMultiplier*IF(ISNUMBER(SEARCH("Actual",$C$7)),Table157[[#This Row],[Days in month]]/365,1/12)</f>
        <v>2.8749999999999995E-3</v>
      </c>
    </row>
    <row r="113" spans="2:20" x14ac:dyDescent="0.2">
      <c r="B113" s="41">
        <v>48791</v>
      </c>
      <c r="C113" s="4">
        <f t="shared" si="4"/>
        <v>97</v>
      </c>
      <c r="D113" s="32">
        <f t="shared" si="3"/>
        <v>0</v>
      </c>
      <c r="E113" s="32">
        <f>ROUND(Table157[[#This Row],[Beginning Balance]]*Table157[[#This Row],[Monthly Interest Rate]],2)</f>
        <v>0</v>
      </c>
      <c r="F113" s="32">
        <f t="shared" si="5"/>
        <v>159</v>
      </c>
      <c r="G113" s="45">
        <f>IFERROR(IF($C$13="No","N/A",IF(Table157[[#This Row],[Period]]=1,$C$6,PMT(InterestRate*AmortizationMultiplier/12,Table157[[#This Row],[Am Thru]],-Table157[[#This Row],[Beginning Balance]]))),0)</f>
        <v>0</v>
      </c>
      <c r="H113" s="32">
        <f>MAX(0,IF(C113=$C$4,D113,ROUND(IF($C$3="Fixed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3" s="32">
        <f>ROUND(Table157[[#This Row],[Defaulted Principal]]*IF($C$9="No",$E$4,VLOOKUP(Table157[[#This Row],[Period]],[1]Forecast!$H$2:$L$1048576,3,FALSE)),2)</f>
        <v>0</v>
      </c>
      <c r="L113" s="4">
        <f>Table157[[#This Row],[Period]]+$E$9</f>
        <v>109</v>
      </c>
      <c r="M113" s="32">
        <f>Table157[[#This Row],[Defaulted Principal]]-Table157[[#This Row],[Estimated Loss]]</f>
        <v>0</v>
      </c>
      <c r="N113" s="32">
        <f>IFERROR(VLOOKUP(Table157[[#This Row],[Period]],$L$16:$M$385,2,FALSE),0)</f>
        <v>0</v>
      </c>
      <c r="O113" s="32">
        <f>Table157[[#This Row],[Beginning Balance]]-Table157[[#This Row],[Principal]]-Table157[[#This Row],[Prepayments]]-Table157[[#This Row],[Defaulted Principal]]</f>
        <v>0</v>
      </c>
      <c r="P113" s="32">
        <f>Table157[[#This Row],[Principal]]+Table157[[#This Row],[Interest]]+Table157[[#This Row],[Prepayments]]+Table157[[#This Row],[RecoveredAmount]]</f>
        <v>0</v>
      </c>
      <c r="Q113" s="32">
        <f ca="1">ROUND(Table157[[#This Row],[Cash Flow]]/((1+ActualRateToUse)^(IF(ISNUMBER(SEARCH("Actual",$C$7)),Table157[[#This Row],[Running Total]]/365,Table157[[#This Row],[Period]]/12))),2)</f>
        <v>0</v>
      </c>
      <c r="R113" s="4">
        <f>IF(MONTH(Table157[[#This Row],[Date]])=2,28,DAY(DATE(YEAR(Table157[[#This Row],[Date]]),MONTH(Table157[[#This Row],[Date]])+1,1)-1))</f>
        <v>31</v>
      </c>
      <c r="S113" s="4">
        <f ca="1">SUM(OFFSET(Table157[[#Headers],[Days in month]],1,0):Table157[[#This Row],[Days in month]])</f>
        <v>2951</v>
      </c>
      <c r="T113" s="30">
        <f>InterestRate*AmortizationMultiplier*IF(ISNUMBER(SEARCH("Actual",$C$7)),Table157[[#This Row],[Days in month]]/365,1/12)</f>
        <v>2.9708333333333331E-3</v>
      </c>
    </row>
    <row r="114" spans="2:20" x14ac:dyDescent="0.2">
      <c r="B114" s="41">
        <v>48822</v>
      </c>
      <c r="C114" s="4">
        <f t="shared" si="4"/>
        <v>98</v>
      </c>
      <c r="D114" s="32">
        <f t="shared" si="3"/>
        <v>0</v>
      </c>
      <c r="E114" s="32">
        <f>ROUND(Table157[[#This Row],[Beginning Balance]]*Table157[[#This Row],[Monthly Interest Rate]],2)</f>
        <v>0</v>
      </c>
      <c r="F114" s="32">
        <f t="shared" si="5"/>
        <v>158</v>
      </c>
      <c r="G114" s="45">
        <f>IFERROR(IF($C$13="No","N/A",IF(Table157[[#This Row],[Period]]=1,$C$6,PMT(InterestRate*AmortizationMultiplier/12,Table157[[#This Row],[Am Thru]],-Table157[[#This Row],[Beginning Balance]]))),0)</f>
        <v>0</v>
      </c>
      <c r="H114" s="32">
        <f>MAX(0,IF(C114=$C$4,D114,ROUND(IF($C$3="Fixed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4" s="32">
        <f>ROUND(Table157[[#This Row],[Defaulted Principal]]*IF($C$9="No",$E$4,VLOOKUP(Table157[[#This Row],[Period]],[1]Forecast!$H$2:$L$1048576,3,FALSE)),2)</f>
        <v>0</v>
      </c>
      <c r="L114" s="4">
        <f>Table157[[#This Row],[Period]]+$E$9</f>
        <v>110</v>
      </c>
      <c r="M114" s="32">
        <f>Table157[[#This Row],[Defaulted Principal]]-Table157[[#This Row],[Estimated Loss]]</f>
        <v>0</v>
      </c>
      <c r="N114" s="32">
        <f>IFERROR(VLOOKUP(Table157[[#This Row],[Period]],$L$16:$M$385,2,FALSE),0)</f>
        <v>0</v>
      </c>
      <c r="O114" s="32">
        <f>Table157[[#This Row],[Beginning Balance]]-Table157[[#This Row],[Principal]]-Table157[[#This Row],[Prepayments]]-Table157[[#This Row],[Defaulted Principal]]</f>
        <v>0</v>
      </c>
      <c r="P114" s="32">
        <f>Table157[[#This Row],[Principal]]+Table157[[#This Row],[Interest]]+Table157[[#This Row],[Prepayments]]+Table157[[#This Row],[RecoveredAmount]]</f>
        <v>0</v>
      </c>
      <c r="Q114" s="32">
        <f ca="1">ROUND(Table157[[#This Row],[Cash Flow]]/((1+ActualRateToUse)^(IF(ISNUMBER(SEARCH("Actual",$C$7)),Table157[[#This Row],[Running Total]]/365,Table157[[#This Row],[Period]]/12))),2)</f>
        <v>0</v>
      </c>
      <c r="R114" s="4">
        <f>IF(MONTH(Table157[[#This Row],[Date]])=2,28,DAY(DATE(YEAR(Table157[[#This Row],[Date]]),MONTH(Table157[[#This Row],[Date]])+1,1)-1))</f>
        <v>31</v>
      </c>
      <c r="S114" s="4">
        <f ca="1">SUM(OFFSET(Table157[[#Headers],[Days in month]],1,0):Table157[[#This Row],[Days in month]])</f>
        <v>2982</v>
      </c>
      <c r="T114" s="30">
        <f>InterestRate*AmortizationMultiplier*IF(ISNUMBER(SEARCH("Actual",$C$7)),Table157[[#This Row],[Days in month]]/365,1/12)</f>
        <v>2.9708333333333331E-3</v>
      </c>
    </row>
    <row r="115" spans="2:20" x14ac:dyDescent="0.2">
      <c r="B115" s="41">
        <v>48852</v>
      </c>
      <c r="C115" s="4">
        <f t="shared" si="4"/>
        <v>99</v>
      </c>
      <c r="D115" s="32">
        <f t="shared" si="3"/>
        <v>0</v>
      </c>
      <c r="E115" s="32">
        <f>ROUND(Table157[[#This Row],[Beginning Balance]]*Table157[[#This Row],[Monthly Interest Rate]],2)</f>
        <v>0</v>
      </c>
      <c r="F115" s="32">
        <f t="shared" si="5"/>
        <v>157</v>
      </c>
      <c r="G115" s="45">
        <f>IFERROR(IF($C$13="No","N/A",IF(Table157[[#This Row],[Period]]=1,$C$6,PMT(InterestRate*AmortizationMultiplier/12,Table157[[#This Row],[Am Thru]],-Table157[[#This Row],[Beginning Balance]]))),0)</f>
        <v>0</v>
      </c>
      <c r="H115" s="32">
        <f>MAX(0,IF(C115=$C$4,D115,ROUND(IF($C$3="Fixed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5" s="32">
        <f>ROUND(Table157[[#This Row],[Defaulted Principal]]*IF($C$9="No",$E$4,VLOOKUP(Table157[[#This Row],[Period]],[1]Forecast!$H$2:$L$1048576,3,FALSE)),2)</f>
        <v>0</v>
      </c>
      <c r="L115" s="4">
        <f>Table157[[#This Row],[Period]]+$E$9</f>
        <v>111</v>
      </c>
      <c r="M115" s="32">
        <f>Table157[[#This Row],[Defaulted Principal]]-Table157[[#This Row],[Estimated Loss]]</f>
        <v>0</v>
      </c>
      <c r="N115" s="32">
        <f>IFERROR(VLOOKUP(Table157[[#This Row],[Period]],$L$16:$M$385,2,FALSE),0)</f>
        <v>0</v>
      </c>
      <c r="O115" s="32">
        <f>Table157[[#This Row],[Beginning Balance]]-Table157[[#This Row],[Principal]]-Table157[[#This Row],[Prepayments]]-Table157[[#This Row],[Defaulted Principal]]</f>
        <v>0</v>
      </c>
      <c r="P115" s="32">
        <f>Table157[[#This Row],[Principal]]+Table157[[#This Row],[Interest]]+Table157[[#This Row],[Prepayments]]+Table157[[#This Row],[RecoveredAmount]]</f>
        <v>0</v>
      </c>
      <c r="Q115" s="32">
        <f ca="1">ROUND(Table157[[#This Row],[Cash Flow]]/((1+ActualRateToUse)^(IF(ISNUMBER(SEARCH("Actual",$C$7)),Table157[[#This Row],[Running Total]]/365,Table157[[#This Row],[Period]]/12))),2)</f>
        <v>0</v>
      </c>
      <c r="R115" s="4">
        <f>IF(MONTH(Table157[[#This Row],[Date]])=2,28,DAY(DATE(YEAR(Table157[[#This Row],[Date]]),MONTH(Table157[[#This Row],[Date]])+1,1)-1))</f>
        <v>30</v>
      </c>
      <c r="S115" s="4">
        <f ca="1">SUM(OFFSET(Table157[[#Headers],[Days in month]],1,0):Table157[[#This Row],[Days in month]])</f>
        <v>3012</v>
      </c>
      <c r="T115" s="30">
        <f>InterestRate*AmortizationMultiplier*IF(ISNUMBER(SEARCH("Actual",$C$7)),Table157[[#This Row],[Days in month]]/365,1/12)</f>
        <v>2.8749999999999995E-3</v>
      </c>
    </row>
    <row r="116" spans="2:20" x14ac:dyDescent="0.2">
      <c r="B116" s="41">
        <v>48883</v>
      </c>
      <c r="C116" s="4">
        <f t="shared" si="4"/>
        <v>100</v>
      </c>
      <c r="D116" s="32">
        <f t="shared" si="3"/>
        <v>0</v>
      </c>
      <c r="E116" s="32">
        <f>ROUND(Table157[[#This Row],[Beginning Balance]]*Table157[[#This Row],[Monthly Interest Rate]],2)</f>
        <v>0</v>
      </c>
      <c r="F116" s="32">
        <f t="shared" si="5"/>
        <v>156</v>
      </c>
      <c r="G116" s="45">
        <f>IFERROR(IF($C$13="No","N/A",IF(Table157[[#This Row],[Period]]=1,$C$6,PMT(InterestRate*AmortizationMultiplier/12,Table157[[#This Row],[Am Thru]],-Table157[[#This Row],[Beginning Balance]]))),0)</f>
        <v>0</v>
      </c>
      <c r="H116" s="32">
        <f>MAX(0,IF(C116=$C$4,D116,ROUND(IF($C$3="Fixed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6" s="32">
        <f>ROUND(Table157[[#This Row],[Defaulted Principal]]*IF($C$9="No",$E$4,VLOOKUP(Table157[[#This Row],[Period]],[1]Forecast!$H$2:$L$1048576,3,FALSE)),2)</f>
        <v>0</v>
      </c>
      <c r="L116" s="4">
        <f>Table157[[#This Row],[Period]]+$E$9</f>
        <v>112</v>
      </c>
      <c r="M116" s="32">
        <f>Table157[[#This Row],[Defaulted Principal]]-Table157[[#This Row],[Estimated Loss]]</f>
        <v>0</v>
      </c>
      <c r="N116" s="32">
        <f>IFERROR(VLOOKUP(Table157[[#This Row],[Period]],$L$16:$M$385,2,FALSE),0)</f>
        <v>0</v>
      </c>
      <c r="O116" s="32">
        <f>Table157[[#This Row],[Beginning Balance]]-Table157[[#This Row],[Principal]]-Table157[[#This Row],[Prepayments]]-Table157[[#This Row],[Defaulted Principal]]</f>
        <v>0</v>
      </c>
      <c r="P116" s="32">
        <f>Table157[[#This Row],[Principal]]+Table157[[#This Row],[Interest]]+Table157[[#This Row],[Prepayments]]+Table157[[#This Row],[RecoveredAmount]]</f>
        <v>0</v>
      </c>
      <c r="Q116" s="32">
        <f ca="1">ROUND(Table157[[#This Row],[Cash Flow]]/((1+ActualRateToUse)^(IF(ISNUMBER(SEARCH("Actual",$C$7)),Table157[[#This Row],[Running Total]]/365,Table157[[#This Row],[Period]]/12))),2)</f>
        <v>0</v>
      </c>
      <c r="R116" s="4">
        <f>IF(MONTH(Table157[[#This Row],[Date]])=2,28,DAY(DATE(YEAR(Table157[[#This Row],[Date]]),MONTH(Table157[[#This Row],[Date]])+1,1)-1))</f>
        <v>31</v>
      </c>
      <c r="S116" s="4">
        <f ca="1">SUM(OFFSET(Table157[[#Headers],[Days in month]],1,0):Table157[[#This Row],[Days in month]])</f>
        <v>3043</v>
      </c>
      <c r="T116" s="30">
        <f>InterestRate*AmortizationMultiplier*IF(ISNUMBER(SEARCH("Actual",$C$7)),Table157[[#This Row],[Days in month]]/365,1/12)</f>
        <v>2.9708333333333331E-3</v>
      </c>
    </row>
    <row r="117" spans="2:20" x14ac:dyDescent="0.2">
      <c r="B117" s="41">
        <v>48913</v>
      </c>
      <c r="C117" s="4">
        <f t="shared" si="4"/>
        <v>101</v>
      </c>
      <c r="D117" s="32">
        <f t="shared" si="3"/>
        <v>0</v>
      </c>
      <c r="E117" s="32">
        <f>ROUND(Table157[[#This Row],[Beginning Balance]]*Table157[[#This Row],[Monthly Interest Rate]],2)</f>
        <v>0</v>
      </c>
      <c r="F117" s="32">
        <f t="shared" si="5"/>
        <v>155</v>
      </c>
      <c r="G117" s="45">
        <f>IFERROR(IF($C$13="No","N/A",IF(Table157[[#This Row],[Period]]=1,$C$6,PMT(InterestRate*AmortizationMultiplier/12,Table157[[#This Row],[Am Thru]],-Table157[[#This Row],[Beginning Balance]]))),0)</f>
        <v>0</v>
      </c>
      <c r="H117" s="32">
        <f>MAX(0,IF(C117=$C$4,D117,ROUND(IF($C$3="Fixed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7" s="32">
        <f>ROUND(Table157[[#This Row],[Defaulted Principal]]*IF($C$9="No",$E$4,VLOOKUP(Table157[[#This Row],[Period]],[1]Forecast!$H$2:$L$1048576,3,FALSE)),2)</f>
        <v>0</v>
      </c>
      <c r="L117" s="4">
        <f>Table157[[#This Row],[Period]]+$E$9</f>
        <v>113</v>
      </c>
      <c r="M117" s="32">
        <f>Table157[[#This Row],[Defaulted Principal]]-Table157[[#This Row],[Estimated Loss]]</f>
        <v>0</v>
      </c>
      <c r="N117" s="32">
        <f>IFERROR(VLOOKUP(Table157[[#This Row],[Period]],$L$16:$M$385,2,FALSE),0)</f>
        <v>0</v>
      </c>
      <c r="O117" s="32">
        <f>Table157[[#This Row],[Beginning Balance]]-Table157[[#This Row],[Principal]]-Table157[[#This Row],[Prepayments]]-Table157[[#This Row],[Defaulted Principal]]</f>
        <v>0</v>
      </c>
      <c r="P117" s="32">
        <f>Table157[[#This Row],[Principal]]+Table157[[#This Row],[Interest]]+Table157[[#This Row],[Prepayments]]+Table157[[#This Row],[RecoveredAmount]]</f>
        <v>0</v>
      </c>
      <c r="Q117" s="32">
        <f ca="1">ROUND(Table157[[#This Row],[Cash Flow]]/((1+ActualRateToUse)^(IF(ISNUMBER(SEARCH("Actual",$C$7)),Table157[[#This Row],[Running Total]]/365,Table157[[#This Row],[Period]]/12))),2)</f>
        <v>0</v>
      </c>
      <c r="R117" s="4">
        <f>IF(MONTH(Table157[[#This Row],[Date]])=2,28,DAY(DATE(YEAR(Table157[[#This Row],[Date]]),MONTH(Table157[[#This Row],[Date]])+1,1)-1))</f>
        <v>30</v>
      </c>
      <c r="S117" s="4">
        <f ca="1">SUM(OFFSET(Table157[[#Headers],[Days in month]],1,0):Table157[[#This Row],[Days in month]])</f>
        <v>3073</v>
      </c>
      <c r="T117" s="30">
        <f>InterestRate*AmortizationMultiplier*IF(ISNUMBER(SEARCH("Actual",$C$7)),Table157[[#This Row],[Days in month]]/365,1/12)</f>
        <v>2.8749999999999995E-3</v>
      </c>
    </row>
    <row r="118" spans="2:20" x14ac:dyDescent="0.2">
      <c r="B118" s="41">
        <v>48944</v>
      </c>
      <c r="C118" s="4">
        <f t="shared" si="4"/>
        <v>102</v>
      </c>
      <c r="D118" s="32">
        <f t="shared" si="3"/>
        <v>0</v>
      </c>
      <c r="E118" s="32">
        <f>ROUND(Table157[[#This Row],[Beginning Balance]]*Table157[[#This Row],[Monthly Interest Rate]],2)</f>
        <v>0</v>
      </c>
      <c r="F118" s="32">
        <f t="shared" si="5"/>
        <v>154</v>
      </c>
      <c r="G118" s="45">
        <f>IFERROR(IF($C$13="No","N/A",IF(Table157[[#This Row],[Period]]=1,$C$6,PMT(InterestRate*AmortizationMultiplier/12,Table157[[#This Row],[Am Thru]],-Table157[[#This Row],[Beginning Balance]]))),0)</f>
        <v>0</v>
      </c>
      <c r="H118" s="32">
        <f>MAX(0,IF(C118=$C$4,D118,ROUND(IF($C$3="Fixed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8" s="32">
        <f>ROUND(Table157[[#This Row],[Defaulted Principal]]*IF($C$9="No",$E$4,VLOOKUP(Table157[[#This Row],[Period]],[1]Forecast!$H$2:$L$1048576,3,FALSE)),2)</f>
        <v>0</v>
      </c>
      <c r="L118" s="4">
        <f>Table157[[#This Row],[Period]]+$E$9</f>
        <v>114</v>
      </c>
      <c r="M118" s="32">
        <f>Table157[[#This Row],[Defaulted Principal]]-Table157[[#This Row],[Estimated Loss]]</f>
        <v>0</v>
      </c>
      <c r="N118" s="32">
        <f>IFERROR(VLOOKUP(Table157[[#This Row],[Period]],$L$16:$M$385,2,FALSE),0)</f>
        <v>0</v>
      </c>
      <c r="O118" s="32">
        <f>Table157[[#This Row],[Beginning Balance]]-Table157[[#This Row],[Principal]]-Table157[[#This Row],[Prepayments]]-Table157[[#This Row],[Defaulted Principal]]</f>
        <v>0</v>
      </c>
      <c r="P118" s="32">
        <f>Table157[[#This Row],[Principal]]+Table157[[#This Row],[Interest]]+Table157[[#This Row],[Prepayments]]+Table157[[#This Row],[RecoveredAmount]]</f>
        <v>0</v>
      </c>
      <c r="Q118" s="32">
        <f ca="1">ROUND(Table157[[#This Row],[Cash Flow]]/((1+ActualRateToUse)^(IF(ISNUMBER(SEARCH("Actual",$C$7)),Table157[[#This Row],[Running Total]]/365,Table157[[#This Row],[Period]]/12))),2)</f>
        <v>0</v>
      </c>
      <c r="R118" s="4">
        <f>IF(MONTH(Table157[[#This Row],[Date]])=2,28,DAY(DATE(YEAR(Table157[[#This Row],[Date]]),MONTH(Table157[[#This Row],[Date]])+1,1)-1))</f>
        <v>31</v>
      </c>
      <c r="S118" s="4">
        <f ca="1">SUM(OFFSET(Table157[[#Headers],[Days in month]],1,0):Table157[[#This Row],[Days in month]])</f>
        <v>3104</v>
      </c>
      <c r="T118" s="30">
        <f>InterestRate*AmortizationMultiplier*IF(ISNUMBER(SEARCH("Actual",$C$7)),Table157[[#This Row],[Days in month]]/365,1/12)</f>
        <v>2.9708333333333331E-3</v>
      </c>
    </row>
    <row r="119" spans="2:20" x14ac:dyDescent="0.2">
      <c r="B119" s="41">
        <v>48975</v>
      </c>
      <c r="C119" s="4">
        <f t="shared" si="4"/>
        <v>103</v>
      </c>
      <c r="D119" s="32">
        <f t="shared" si="3"/>
        <v>0</v>
      </c>
      <c r="E119" s="32">
        <f>ROUND(Table157[[#This Row],[Beginning Balance]]*Table157[[#This Row],[Monthly Interest Rate]],2)</f>
        <v>0</v>
      </c>
      <c r="F119" s="32">
        <f t="shared" si="5"/>
        <v>153</v>
      </c>
      <c r="G119" s="45">
        <f>IFERROR(IF($C$13="No","N/A",IF(Table157[[#This Row],[Period]]=1,$C$6,PMT(InterestRate*AmortizationMultiplier/12,Table157[[#This Row],[Am Thru]],-Table157[[#This Row],[Beginning Balance]]))),0)</f>
        <v>0</v>
      </c>
      <c r="H119" s="32">
        <f>MAX(0,IF(C119=$C$4,D119,ROUND(IF($C$3="Fixed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1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1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19" s="32">
        <f>ROUND(Table157[[#This Row],[Defaulted Principal]]*IF($C$9="No",$E$4,VLOOKUP(Table157[[#This Row],[Period]],[1]Forecast!$H$2:$L$1048576,3,FALSE)),2)</f>
        <v>0</v>
      </c>
      <c r="L119" s="4">
        <f>Table157[[#This Row],[Period]]+$E$9</f>
        <v>115</v>
      </c>
      <c r="M119" s="32">
        <f>Table157[[#This Row],[Defaulted Principal]]-Table157[[#This Row],[Estimated Loss]]</f>
        <v>0</v>
      </c>
      <c r="N119" s="32">
        <f>IFERROR(VLOOKUP(Table157[[#This Row],[Period]],$L$16:$M$385,2,FALSE),0)</f>
        <v>0</v>
      </c>
      <c r="O119" s="32">
        <f>Table157[[#This Row],[Beginning Balance]]-Table157[[#This Row],[Principal]]-Table157[[#This Row],[Prepayments]]-Table157[[#This Row],[Defaulted Principal]]</f>
        <v>0</v>
      </c>
      <c r="P119" s="32">
        <f>Table157[[#This Row],[Principal]]+Table157[[#This Row],[Interest]]+Table157[[#This Row],[Prepayments]]+Table157[[#This Row],[RecoveredAmount]]</f>
        <v>0</v>
      </c>
      <c r="Q119" s="32">
        <f ca="1">ROUND(Table157[[#This Row],[Cash Flow]]/((1+ActualRateToUse)^(IF(ISNUMBER(SEARCH("Actual",$C$7)),Table157[[#This Row],[Running Total]]/365,Table157[[#This Row],[Period]]/12))),2)</f>
        <v>0</v>
      </c>
      <c r="R119" s="4">
        <f>IF(MONTH(Table157[[#This Row],[Date]])=2,28,DAY(DATE(YEAR(Table157[[#This Row],[Date]]),MONTH(Table157[[#This Row],[Date]])+1,1)-1))</f>
        <v>31</v>
      </c>
      <c r="S119" s="4">
        <f ca="1">SUM(OFFSET(Table157[[#Headers],[Days in month]],1,0):Table157[[#This Row],[Days in month]])</f>
        <v>3135</v>
      </c>
      <c r="T119" s="30">
        <f>InterestRate*AmortizationMultiplier*IF(ISNUMBER(SEARCH("Actual",$C$7)),Table157[[#This Row],[Days in month]]/365,1/12)</f>
        <v>2.9708333333333331E-3</v>
      </c>
    </row>
    <row r="120" spans="2:20" x14ac:dyDescent="0.2">
      <c r="B120" s="41">
        <v>49003</v>
      </c>
      <c r="C120" s="4">
        <f t="shared" si="4"/>
        <v>104</v>
      </c>
      <c r="D120" s="32">
        <f t="shared" si="3"/>
        <v>0</v>
      </c>
      <c r="E120" s="32">
        <f>ROUND(Table157[[#This Row],[Beginning Balance]]*Table157[[#This Row],[Monthly Interest Rate]],2)</f>
        <v>0</v>
      </c>
      <c r="F120" s="32">
        <f t="shared" si="5"/>
        <v>152</v>
      </c>
      <c r="G120" s="45">
        <f>IFERROR(IF($C$13="No","N/A",IF(Table157[[#This Row],[Period]]=1,$C$6,PMT(InterestRate*AmortizationMultiplier/12,Table157[[#This Row],[Am Thru]],-Table157[[#This Row],[Beginning Balance]]))),0)</f>
        <v>0</v>
      </c>
      <c r="H120" s="32">
        <f>MAX(0,IF(C120=$C$4,D120,ROUND(IF($C$3="Fixed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0" s="32">
        <f>ROUND(Table157[[#This Row],[Defaulted Principal]]*IF($C$9="No",$E$4,VLOOKUP(Table157[[#This Row],[Period]],[1]Forecast!$H$2:$L$1048576,3,FALSE)),2)</f>
        <v>0</v>
      </c>
      <c r="L120" s="4">
        <f>Table157[[#This Row],[Period]]+$E$9</f>
        <v>116</v>
      </c>
      <c r="M120" s="32">
        <f>Table157[[#This Row],[Defaulted Principal]]-Table157[[#This Row],[Estimated Loss]]</f>
        <v>0</v>
      </c>
      <c r="N120" s="32">
        <f>IFERROR(VLOOKUP(Table157[[#This Row],[Period]],$L$16:$M$385,2,FALSE),0)</f>
        <v>0</v>
      </c>
      <c r="O120" s="32">
        <f>Table157[[#This Row],[Beginning Balance]]-Table157[[#This Row],[Principal]]-Table157[[#This Row],[Prepayments]]-Table157[[#This Row],[Defaulted Principal]]</f>
        <v>0</v>
      </c>
      <c r="P120" s="32">
        <f>Table157[[#This Row],[Principal]]+Table157[[#This Row],[Interest]]+Table157[[#This Row],[Prepayments]]+Table157[[#This Row],[RecoveredAmount]]</f>
        <v>0</v>
      </c>
      <c r="Q120" s="32">
        <f ca="1">ROUND(Table157[[#This Row],[Cash Flow]]/((1+ActualRateToUse)^(IF(ISNUMBER(SEARCH("Actual",$C$7)),Table157[[#This Row],[Running Total]]/365,Table157[[#This Row],[Period]]/12))),2)</f>
        <v>0</v>
      </c>
      <c r="R120" s="4">
        <f>IF(MONTH(Table157[[#This Row],[Date]])=2,28,DAY(DATE(YEAR(Table157[[#This Row],[Date]]),MONTH(Table157[[#This Row],[Date]])+1,1)-1))</f>
        <v>28</v>
      </c>
      <c r="S120" s="4">
        <f ca="1">SUM(OFFSET(Table157[[#Headers],[Days in month]],1,0):Table157[[#This Row],[Days in month]])</f>
        <v>3163</v>
      </c>
      <c r="T120" s="30">
        <f>InterestRate*AmortizationMultiplier*IF(ISNUMBER(SEARCH("Actual",$C$7)),Table157[[#This Row],[Days in month]]/365,1/12)</f>
        <v>2.6833333333333336E-3</v>
      </c>
    </row>
    <row r="121" spans="2:20" x14ac:dyDescent="0.2">
      <c r="B121" s="41">
        <v>49034</v>
      </c>
      <c r="C121" s="4">
        <f t="shared" si="4"/>
        <v>105</v>
      </c>
      <c r="D121" s="32">
        <f t="shared" si="3"/>
        <v>0</v>
      </c>
      <c r="E121" s="32">
        <f>ROUND(Table157[[#This Row],[Beginning Balance]]*Table157[[#This Row],[Monthly Interest Rate]],2)</f>
        <v>0</v>
      </c>
      <c r="F121" s="32">
        <f t="shared" si="5"/>
        <v>151</v>
      </c>
      <c r="G121" s="45">
        <f>IFERROR(IF($C$13="No","N/A",IF(Table157[[#This Row],[Period]]=1,$C$6,PMT(InterestRate*AmortizationMultiplier/12,Table157[[#This Row],[Am Thru]],-Table157[[#This Row],[Beginning Balance]]))),0)</f>
        <v>0</v>
      </c>
      <c r="H121" s="32">
        <f>MAX(0,IF(C121=$C$4,D121,ROUND(IF($C$3="Fixed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1" s="32">
        <f>ROUND(Table157[[#This Row],[Defaulted Principal]]*IF($C$9="No",$E$4,VLOOKUP(Table157[[#This Row],[Period]],[1]Forecast!$H$2:$L$1048576,3,FALSE)),2)</f>
        <v>0</v>
      </c>
      <c r="L121" s="4">
        <f>Table157[[#This Row],[Period]]+$E$9</f>
        <v>117</v>
      </c>
      <c r="M121" s="32">
        <f>Table157[[#This Row],[Defaulted Principal]]-Table157[[#This Row],[Estimated Loss]]</f>
        <v>0</v>
      </c>
      <c r="N121" s="32">
        <f>IFERROR(VLOOKUP(Table157[[#This Row],[Period]],$L$16:$M$385,2,FALSE),0)</f>
        <v>0</v>
      </c>
      <c r="O121" s="32">
        <f>Table157[[#This Row],[Beginning Balance]]-Table157[[#This Row],[Principal]]-Table157[[#This Row],[Prepayments]]-Table157[[#This Row],[Defaulted Principal]]</f>
        <v>0</v>
      </c>
      <c r="P121" s="32">
        <f>Table157[[#This Row],[Principal]]+Table157[[#This Row],[Interest]]+Table157[[#This Row],[Prepayments]]+Table157[[#This Row],[RecoveredAmount]]</f>
        <v>0</v>
      </c>
      <c r="Q121" s="32">
        <f ca="1">ROUND(Table157[[#This Row],[Cash Flow]]/((1+ActualRateToUse)^(IF(ISNUMBER(SEARCH("Actual",$C$7)),Table157[[#This Row],[Running Total]]/365,Table157[[#This Row],[Period]]/12))),2)</f>
        <v>0</v>
      </c>
      <c r="R121" s="4">
        <f>IF(MONTH(Table157[[#This Row],[Date]])=2,28,DAY(DATE(YEAR(Table157[[#This Row],[Date]]),MONTH(Table157[[#This Row],[Date]])+1,1)-1))</f>
        <v>31</v>
      </c>
      <c r="S121" s="4">
        <f ca="1">SUM(OFFSET(Table157[[#Headers],[Days in month]],1,0):Table157[[#This Row],[Days in month]])</f>
        <v>3194</v>
      </c>
      <c r="T121" s="30">
        <f>InterestRate*AmortizationMultiplier*IF(ISNUMBER(SEARCH("Actual",$C$7)),Table157[[#This Row],[Days in month]]/365,1/12)</f>
        <v>2.9708333333333331E-3</v>
      </c>
    </row>
    <row r="122" spans="2:20" x14ac:dyDescent="0.2">
      <c r="B122" s="41">
        <v>49064</v>
      </c>
      <c r="C122" s="4">
        <f t="shared" si="4"/>
        <v>106</v>
      </c>
      <c r="D122" s="32">
        <f t="shared" si="3"/>
        <v>0</v>
      </c>
      <c r="E122" s="32">
        <f>ROUND(Table157[[#This Row],[Beginning Balance]]*Table157[[#This Row],[Monthly Interest Rate]],2)</f>
        <v>0</v>
      </c>
      <c r="F122" s="32">
        <f t="shared" si="5"/>
        <v>150</v>
      </c>
      <c r="G122" s="45">
        <f>IFERROR(IF($C$13="No","N/A",IF(Table157[[#This Row],[Period]]=1,$C$6,PMT(InterestRate*AmortizationMultiplier/12,Table157[[#This Row],[Am Thru]],-Table157[[#This Row],[Beginning Balance]]))),0)</f>
        <v>0</v>
      </c>
      <c r="H122" s="32">
        <f>MAX(0,IF(C122=$C$4,D122,ROUND(IF($C$3="Fixed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2" s="32">
        <f>ROUND(Table157[[#This Row],[Defaulted Principal]]*IF($C$9="No",$E$4,VLOOKUP(Table157[[#This Row],[Period]],[1]Forecast!$H$2:$L$1048576,3,FALSE)),2)</f>
        <v>0</v>
      </c>
      <c r="L122" s="4">
        <f>Table157[[#This Row],[Period]]+$E$9</f>
        <v>118</v>
      </c>
      <c r="M122" s="32">
        <f>Table157[[#This Row],[Defaulted Principal]]-Table157[[#This Row],[Estimated Loss]]</f>
        <v>0</v>
      </c>
      <c r="N122" s="32">
        <f>IFERROR(VLOOKUP(Table157[[#This Row],[Period]],$L$16:$M$385,2,FALSE),0)</f>
        <v>0</v>
      </c>
      <c r="O122" s="32">
        <f>Table157[[#This Row],[Beginning Balance]]-Table157[[#This Row],[Principal]]-Table157[[#This Row],[Prepayments]]-Table157[[#This Row],[Defaulted Principal]]</f>
        <v>0</v>
      </c>
      <c r="P122" s="32">
        <f>Table157[[#This Row],[Principal]]+Table157[[#This Row],[Interest]]+Table157[[#This Row],[Prepayments]]+Table157[[#This Row],[RecoveredAmount]]</f>
        <v>0</v>
      </c>
      <c r="Q122" s="32">
        <f ca="1">ROUND(Table157[[#This Row],[Cash Flow]]/((1+ActualRateToUse)^(IF(ISNUMBER(SEARCH("Actual",$C$7)),Table157[[#This Row],[Running Total]]/365,Table157[[#This Row],[Period]]/12))),2)</f>
        <v>0</v>
      </c>
      <c r="R122" s="4">
        <f>IF(MONTH(Table157[[#This Row],[Date]])=2,28,DAY(DATE(YEAR(Table157[[#This Row],[Date]]),MONTH(Table157[[#This Row],[Date]])+1,1)-1))</f>
        <v>30</v>
      </c>
      <c r="S122" s="4">
        <f ca="1">SUM(OFFSET(Table157[[#Headers],[Days in month]],1,0):Table157[[#This Row],[Days in month]])</f>
        <v>3224</v>
      </c>
      <c r="T122" s="30">
        <f>InterestRate*AmortizationMultiplier*IF(ISNUMBER(SEARCH("Actual",$C$7)),Table157[[#This Row],[Days in month]]/365,1/12)</f>
        <v>2.8749999999999995E-3</v>
      </c>
    </row>
    <row r="123" spans="2:20" x14ac:dyDescent="0.2">
      <c r="B123" s="41">
        <v>49095</v>
      </c>
      <c r="C123" s="4">
        <f t="shared" si="4"/>
        <v>107</v>
      </c>
      <c r="D123" s="32">
        <f t="shared" si="3"/>
        <v>0</v>
      </c>
      <c r="E123" s="32">
        <f>ROUND(Table157[[#This Row],[Beginning Balance]]*Table157[[#This Row],[Monthly Interest Rate]],2)</f>
        <v>0</v>
      </c>
      <c r="F123" s="32">
        <f t="shared" si="5"/>
        <v>149</v>
      </c>
      <c r="G123" s="45">
        <f>IFERROR(IF($C$13="No","N/A",IF(Table157[[#This Row],[Period]]=1,$C$6,PMT(InterestRate*AmortizationMultiplier/12,Table157[[#This Row],[Am Thru]],-Table157[[#This Row],[Beginning Balance]]))),0)</f>
        <v>0</v>
      </c>
      <c r="H123" s="32">
        <f>MAX(0,IF(C123=$C$4,D123,ROUND(IF($C$3="Fixed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3" s="32">
        <f>ROUND(Table157[[#This Row],[Defaulted Principal]]*IF($C$9="No",$E$4,VLOOKUP(Table157[[#This Row],[Period]],[1]Forecast!$H$2:$L$1048576,3,FALSE)),2)</f>
        <v>0</v>
      </c>
      <c r="L123" s="4">
        <f>Table157[[#This Row],[Period]]+$E$9</f>
        <v>119</v>
      </c>
      <c r="M123" s="32">
        <f>Table157[[#This Row],[Defaulted Principal]]-Table157[[#This Row],[Estimated Loss]]</f>
        <v>0</v>
      </c>
      <c r="N123" s="32">
        <f>IFERROR(VLOOKUP(Table157[[#This Row],[Period]],$L$16:$M$385,2,FALSE),0)</f>
        <v>0</v>
      </c>
      <c r="O123" s="32">
        <f>Table157[[#This Row],[Beginning Balance]]-Table157[[#This Row],[Principal]]-Table157[[#This Row],[Prepayments]]-Table157[[#This Row],[Defaulted Principal]]</f>
        <v>0</v>
      </c>
      <c r="P123" s="32">
        <f>Table157[[#This Row],[Principal]]+Table157[[#This Row],[Interest]]+Table157[[#This Row],[Prepayments]]+Table157[[#This Row],[RecoveredAmount]]</f>
        <v>0</v>
      </c>
      <c r="Q123" s="32">
        <f ca="1">ROUND(Table157[[#This Row],[Cash Flow]]/((1+ActualRateToUse)^(IF(ISNUMBER(SEARCH("Actual",$C$7)),Table157[[#This Row],[Running Total]]/365,Table157[[#This Row],[Period]]/12))),2)</f>
        <v>0</v>
      </c>
      <c r="R123" s="4">
        <f>IF(MONTH(Table157[[#This Row],[Date]])=2,28,DAY(DATE(YEAR(Table157[[#This Row],[Date]]),MONTH(Table157[[#This Row],[Date]])+1,1)-1))</f>
        <v>31</v>
      </c>
      <c r="S123" s="4">
        <f ca="1">SUM(OFFSET(Table157[[#Headers],[Days in month]],1,0):Table157[[#This Row],[Days in month]])</f>
        <v>3255</v>
      </c>
      <c r="T123" s="30">
        <f>InterestRate*AmortizationMultiplier*IF(ISNUMBER(SEARCH("Actual",$C$7)),Table157[[#This Row],[Days in month]]/365,1/12)</f>
        <v>2.9708333333333331E-3</v>
      </c>
    </row>
    <row r="124" spans="2:20" x14ac:dyDescent="0.2">
      <c r="B124" s="41">
        <v>49125</v>
      </c>
      <c r="C124" s="4">
        <f t="shared" si="4"/>
        <v>108</v>
      </c>
      <c r="D124" s="32">
        <f t="shared" si="3"/>
        <v>0</v>
      </c>
      <c r="E124" s="32">
        <f>ROUND(Table157[[#This Row],[Beginning Balance]]*Table157[[#This Row],[Monthly Interest Rate]],2)</f>
        <v>0</v>
      </c>
      <c r="F124" s="32">
        <f t="shared" si="5"/>
        <v>148</v>
      </c>
      <c r="G124" s="45">
        <f>IFERROR(IF($C$13="No","N/A",IF(Table157[[#This Row],[Period]]=1,$C$6,PMT(InterestRate*AmortizationMultiplier/12,Table157[[#This Row],[Am Thru]],-Table157[[#This Row],[Beginning Balance]]))),0)</f>
        <v>0</v>
      </c>
      <c r="H124" s="32">
        <f>MAX(0,IF(C124=$C$4,D124,ROUND(IF($C$3="Fixed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4" s="32">
        <f>ROUND(Table157[[#This Row],[Defaulted Principal]]*IF($C$9="No",$E$4,VLOOKUP(Table157[[#This Row],[Period]],[1]Forecast!$H$2:$L$1048576,3,FALSE)),2)</f>
        <v>0</v>
      </c>
      <c r="L124" s="4">
        <f>Table157[[#This Row],[Period]]+$E$9</f>
        <v>120</v>
      </c>
      <c r="M124" s="32">
        <f>Table157[[#This Row],[Defaulted Principal]]-Table157[[#This Row],[Estimated Loss]]</f>
        <v>0</v>
      </c>
      <c r="N124" s="32">
        <f>IFERROR(VLOOKUP(Table157[[#This Row],[Period]],$L$16:$M$385,2,FALSE),0)</f>
        <v>0</v>
      </c>
      <c r="O124" s="32">
        <f>Table157[[#This Row],[Beginning Balance]]-Table157[[#This Row],[Principal]]-Table157[[#This Row],[Prepayments]]-Table157[[#This Row],[Defaulted Principal]]</f>
        <v>0</v>
      </c>
      <c r="P124" s="32">
        <f>Table157[[#This Row],[Principal]]+Table157[[#This Row],[Interest]]+Table157[[#This Row],[Prepayments]]+Table157[[#This Row],[RecoveredAmount]]</f>
        <v>0</v>
      </c>
      <c r="Q124" s="32">
        <f ca="1">ROUND(Table157[[#This Row],[Cash Flow]]/((1+ActualRateToUse)^(IF(ISNUMBER(SEARCH("Actual",$C$7)),Table157[[#This Row],[Running Total]]/365,Table157[[#This Row],[Period]]/12))),2)</f>
        <v>0</v>
      </c>
      <c r="R124" s="4">
        <f>IF(MONTH(Table157[[#This Row],[Date]])=2,28,DAY(DATE(YEAR(Table157[[#This Row],[Date]]),MONTH(Table157[[#This Row],[Date]])+1,1)-1))</f>
        <v>30</v>
      </c>
      <c r="S124" s="4">
        <f ca="1">SUM(OFFSET(Table157[[#Headers],[Days in month]],1,0):Table157[[#This Row],[Days in month]])</f>
        <v>3285</v>
      </c>
      <c r="T124" s="30">
        <f>InterestRate*AmortizationMultiplier*IF(ISNUMBER(SEARCH("Actual",$C$7)),Table157[[#This Row],[Days in month]]/365,1/12)</f>
        <v>2.8749999999999995E-3</v>
      </c>
    </row>
    <row r="125" spans="2:20" x14ac:dyDescent="0.2">
      <c r="B125" s="41">
        <v>49156</v>
      </c>
      <c r="C125" s="4">
        <f t="shared" si="4"/>
        <v>109</v>
      </c>
      <c r="D125" s="32">
        <f t="shared" si="3"/>
        <v>0</v>
      </c>
      <c r="E125" s="32">
        <f>ROUND(Table157[[#This Row],[Beginning Balance]]*Table157[[#This Row],[Monthly Interest Rate]],2)</f>
        <v>0</v>
      </c>
      <c r="F125" s="32">
        <f t="shared" si="5"/>
        <v>147</v>
      </c>
      <c r="G125" s="45">
        <f>IFERROR(IF($C$13="No","N/A",IF(Table157[[#This Row],[Period]]=1,$C$6,PMT(InterestRate*AmortizationMultiplier/12,Table157[[#This Row],[Am Thru]],-Table157[[#This Row],[Beginning Balance]]))),0)</f>
        <v>0</v>
      </c>
      <c r="H125" s="32">
        <f>MAX(0,IF(C125=$C$4,D125,ROUND(IF($C$3="Fixed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5" s="32">
        <f>ROUND(Table157[[#This Row],[Defaulted Principal]]*IF($C$9="No",$E$4,VLOOKUP(Table157[[#This Row],[Period]],[1]Forecast!$H$2:$L$1048576,3,FALSE)),2)</f>
        <v>0</v>
      </c>
      <c r="L125" s="4">
        <f>Table157[[#This Row],[Period]]+$E$9</f>
        <v>121</v>
      </c>
      <c r="M125" s="32">
        <f>Table157[[#This Row],[Defaulted Principal]]-Table157[[#This Row],[Estimated Loss]]</f>
        <v>0</v>
      </c>
      <c r="N125" s="32">
        <f>IFERROR(VLOOKUP(Table157[[#This Row],[Period]],$L$16:$M$385,2,FALSE),0)</f>
        <v>0</v>
      </c>
      <c r="O125" s="32">
        <f>Table157[[#This Row],[Beginning Balance]]-Table157[[#This Row],[Principal]]-Table157[[#This Row],[Prepayments]]-Table157[[#This Row],[Defaulted Principal]]</f>
        <v>0</v>
      </c>
      <c r="P125" s="32">
        <f>Table157[[#This Row],[Principal]]+Table157[[#This Row],[Interest]]+Table157[[#This Row],[Prepayments]]+Table157[[#This Row],[RecoveredAmount]]</f>
        <v>0</v>
      </c>
      <c r="Q125" s="32">
        <f ca="1">ROUND(Table157[[#This Row],[Cash Flow]]/((1+ActualRateToUse)^(IF(ISNUMBER(SEARCH("Actual",$C$7)),Table157[[#This Row],[Running Total]]/365,Table157[[#This Row],[Period]]/12))),2)</f>
        <v>0</v>
      </c>
      <c r="R125" s="4">
        <f>IF(MONTH(Table157[[#This Row],[Date]])=2,28,DAY(DATE(YEAR(Table157[[#This Row],[Date]]),MONTH(Table157[[#This Row],[Date]])+1,1)-1))</f>
        <v>31</v>
      </c>
      <c r="S125" s="4">
        <f ca="1">SUM(OFFSET(Table157[[#Headers],[Days in month]],1,0):Table157[[#This Row],[Days in month]])</f>
        <v>3316</v>
      </c>
      <c r="T125" s="30">
        <f>InterestRate*AmortizationMultiplier*IF(ISNUMBER(SEARCH("Actual",$C$7)),Table157[[#This Row],[Days in month]]/365,1/12)</f>
        <v>2.9708333333333331E-3</v>
      </c>
    </row>
    <row r="126" spans="2:20" x14ac:dyDescent="0.2">
      <c r="B126" s="41">
        <v>49187</v>
      </c>
      <c r="C126" s="4">
        <f t="shared" si="4"/>
        <v>110</v>
      </c>
      <c r="D126" s="32">
        <f t="shared" si="3"/>
        <v>0</v>
      </c>
      <c r="E126" s="32">
        <f>ROUND(Table157[[#This Row],[Beginning Balance]]*Table157[[#This Row],[Monthly Interest Rate]],2)</f>
        <v>0</v>
      </c>
      <c r="F126" s="32">
        <f t="shared" si="5"/>
        <v>146</v>
      </c>
      <c r="G126" s="45">
        <f>IFERROR(IF($C$13="No","N/A",IF(Table157[[#This Row],[Period]]=1,$C$6,PMT(InterestRate*AmortizationMultiplier/12,Table157[[#This Row],[Am Thru]],-Table157[[#This Row],[Beginning Balance]]))),0)</f>
        <v>0</v>
      </c>
      <c r="H126" s="32">
        <f>MAX(0,IF(C126=$C$4,D126,ROUND(IF($C$3="Fixed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6" s="32">
        <f>ROUND(Table157[[#This Row],[Defaulted Principal]]*IF($C$9="No",$E$4,VLOOKUP(Table157[[#This Row],[Period]],[1]Forecast!$H$2:$L$1048576,3,FALSE)),2)</f>
        <v>0</v>
      </c>
      <c r="L126" s="4">
        <f>Table157[[#This Row],[Period]]+$E$9</f>
        <v>122</v>
      </c>
      <c r="M126" s="32">
        <f>Table157[[#This Row],[Defaulted Principal]]-Table157[[#This Row],[Estimated Loss]]</f>
        <v>0</v>
      </c>
      <c r="N126" s="32">
        <f>IFERROR(VLOOKUP(Table157[[#This Row],[Period]],$L$16:$M$385,2,FALSE),0)</f>
        <v>0</v>
      </c>
      <c r="O126" s="32">
        <f>Table157[[#This Row],[Beginning Balance]]-Table157[[#This Row],[Principal]]-Table157[[#This Row],[Prepayments]]-Table157[[#This Row],[Defaulted Principal]]</f>
        <v>0</v>
      </c>
      <c r="P126" s="32">
        <f>Table157[[#This Row],[Principal]]+Table157[[#This Row],[Interest]]+Table157[[#This Row],[Prepayments]]+Table157[[#This Row],[RecoveredAmount]]</f>
        <v>0</v>
      </c>
      <c r="Q126" s="32">
        <f ca="1">ROUND(Table157[[#This Row],[Cash Flow]]/((1+ActualRateToUse)^(IF(ISNUMBER(SEARCH("Actual",$C$7)),Table157[[#This Row],[Running Total]]/365,Table157[[#This Row],[Period]]/12))),2)</f>
        <v>0</v>
      </c>
      <c r="R126" s="4">
        <f>IF(MONTH(Table157[[#This Row],[Date]])=2,28,DAY(DATE(YEAR(Table157[[#This Row],[Date]]),MONTH(Table157[[#This Row],[Date]])+1,1)-1))</f>
        <v>31</v>
      </c>
      <c r="S126" s="4">
        <f ca="1">SUM(OFFSET(Table157[[#Headers],[Days in month]],1,0):Table157[[#This Row],[Days in month]])</f>
        <v>3347</v>
      </c>
      <c r="T126" s="30">
        <f>InterestRate*AmortizationMultiplier*IF(ISNUMBER(SEARCH("Actual",$C$7)),Table157[[#This Row],[Days in month]]/365,1/12)</f>
        <v>2.9708333333333331E-3</v>
      </c>
    </row>
    <row r="127" spans="2:20" x14ac:dyDescent="0.2">
      <c r="B127" s="41">
        <v>49217</v>
      </c>
      <c r="C127" s="4">
        <f t="shared" si="4"/>
        <v>111</v>
      </c>
      <c r="D127" s="32">
        <f t="shared" si="3"/>
        <v>0</v>
      </c>
      <c r="E127" s="32">
        <f>ROUND(Table157[[#This Row],[Beginning Balance]]*Table157[[#This Row],[Monthly Interest Rate]],2)</f>
        <v>0</v>
      </c>
      <c r="F127" s="32">
        <f t="shared" si="5"/>
        <v>145</v>
      </c>
      <c r="G127" s="45">
        <f>IFERROR(IF($C$13="No","N/A",IF(Table157[[#This Row],[Period]]=1,$C$6,PMT(InterestRate*AmortizationMultiplier/12,Table157[[#This Row],[Am Thru]],-Table157[[#This Row],[Beginning Balance]]))),0)</f>
        <v>0</v>
      </c>
      <c r="H127" s="32">
        <f>MAX(0,IF(C127=$C$4,D127,ROUND(IF($C$3="Fixed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7" s="32">
        <f>ROUND(Table157[[#This Row],[Defaulted Principal]]*IF($C$9="No",$E$4,VLOOKUP(Table157[[#This Row],[Period]],[1]Forecast!$H$2:$L$1048576,3,FALSE)),2)</f>
        <v>0</v>
      </c>
      <c r="L127" s="4">
        <f>Table157[[#This Row],[Period]]+$E$9</f>
        <v>123</v>
      </c>
      <c r="M127" s="32">
        <f>Table157[[#This Row],[Defaulted Principal]]-Table157[[#This Row],[Estimated Loss]]</f>
        <v>0</v>
      </c>
      <c r="N127" s="32">
        <f>IFERROR(VLOOKUP(Table157[[#This Row],[Period]],$L$16:$M$385,2,FALSE),0)</f>
        <v>0</v>
      </c>
      <c r="O127" s="32">
        <f>Table157[[#This Row],[Beginning Balance]]-Table157[[#This Row],[Principal]]-Table157[[#This Row],[Prepayments]]-Table157[[#This Row],[Defaulted Principal]]</f>
        <v>0</v>
      </c>
      <c r="P127" s="32">
        <f>Table157[[#This Row],[Principal]]+Table157[[#This Row],[Interest]]+Table157[[#This Row],[Prepayments]]+Table157[[#This Row],[RecoveredAmount]]</f>
        <v>0</v>
      </c>
      <c r="Q127" s="32">
        <f ca="1">ROUND(Table157[[#This Row],[Cash Flow]]/((1+ActualRateToUse)^(IF(ISNUMBER(SEARCH("Actual",$C$7)),Table157[[#This Row],[Running Total]]/365,Table157[[#This Row],[Period]]/12))),2)</f>
        <v>0</v>
      </c>
      <c r="R127" s="4">
        <f>IF(MONTH(Table157[[#This Row],[Date]])=2,28,DAY(DATE(YEAR(Table157[[#This Row],[Date]]),MONTH(Table157[[#This Row],[Date]])+1,1)-1))</f>
        <v>30</v>
      </c>
      <c r="S127" s="4">
        <f ca="1">SUM(OFFSET(Table157[[#Headers],[Days in month]],1,0):Table157[[#This Row],[Days in month]])</f>
        <v>3377</v>
      </c>
      <c r="T127" s="30">
        <f>InterestRate*AmortizationMultiplier*IF(ISNUMBER(SEARCH("Actual",$C$7)),Table157[[#This Row],[Days in month]]/365,1/12)</f>
        <v>2.8749999999999995E-3</v>
      </c>
    </row>
    <row r="128" spans="2:20" x14ac:dyDescent="0.2">
      <c r="B128" s="41">
        <v>49248</v>
      </c>
      <c r="C128" s="4">
        <f t="shared" si="4"/>
        <v>112</v>
      </c>
      <c r="D128" s="32">
        <f t="shared" si="3"/>
        <v>0</v>
      </c>
      <c r="E128" s="32">
        <f>ROUND(Table157[[#This Row],[Beginning Balance]]*Table157[[#This Row],[Monthly Interest Rate]],2)</f>
        <v>0</v>
      </c>
      <c r="F128" s="32">
        <f t="shared" si="5"/>
        <v>144</v>
      </c>
      <c r="G128" s="45">
        <f>IFERROR(IF($C$13="No","N/A",IF(Table157[[#This Row],[Period]]=1,$C$6,PMT(InterestRate*AmortizationMultiplier/12,Table157[[#This Row],[Am Thru]],-Table157[[#This Row],[Beginning Balance]]))),0)</f>
        <v>0</v>
      </c>
      <c r="H128" s="32">
        <f>MAX(0,IF(C128=$C$4,D128,ROUND(IF($C$3="Fixed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8" s="32">
        <f>ROUND(Table157[[#This Row],[Defaulted Principal]]*IF($C$9="No",$E$4,VLOOKUP(Table157[[#This Row],[Period]],[1]Forecast!$H$2:$L$1048576,3,FALSE)),2)</f>
        <v>0</v>
      </c>
      <c r="L128" s="4">
        <f>Table157[[#This Row],[Period]]+$E$9</f>
        <v>124</v>
      </c>
      <c r="M128" s="32">
        <f>Table157[[#This Row],[Defaulted Principal]]-Table157[[#This Row],[Estimated Loss]]</f>
        <v>0</v>
      </c>
      <c r="N128" s="32">
        <f>IFERROR(VLOOKUP(Table157[[#This Row],[Period]],$L$16:$M$385,2,FALSE),0)</f>
        <v>0</v>
      </c>
      <c r="O128" s="32">
        <f>Table157[[#This Row],[Beginning Balance]]-Table157[[#This Row],[Principal]]-Table157[[#This Row],[Prepayments]]-Table157[[#This Row],[Defaulted Principal]]</f>
        <v>0</v>
      </c>
      <c r="P128" s="32">
        <f>Table157[[#This Row],[Principal]]+Table157[[#This Row],[Interest]]+Table157[[#This Row],[Prepayments]]+Table157[[#This Row],[RecoveredAmount]]</f>
        <v>0</v>
      </c>
      <c r="Q128" s="32">
        <f ca="1">ROUND(Table157[[#This Row],[Cash Flow]]/((1+ActualRateToUse)^(IF(ISNUMBER(SEARCH("Actual",$C$7)),Table157[[#This Row],[Running Total]]/365,Table157[[#This Row],[Period]]/12))),2)</f>
        <v>0</v>
      </c>
      <c r="R128" s="4">
        <f>IF(MONTH(Table157[[#This Row],[Date]])=2,28,DAY(DATE(YEAR(Table157[[#This Row],[Date]]),MONTH(Table157[[#This Row],[Date]])+1,1)-1))</f>
        <v>31</v>
      </c>
      <c r="S128" s="4">
        <f ca="1">SUM(OFFSET(Table157[[#Headers],[Days in month]],1,0):Table157[[#This Row],[Days in month]])</f>
        <v>3408</v>
      </c>
      <c r="T128" s="30">
        <f>InterestRate*AmortizationMultiplier*IF(ISNUMBER(SEARCH("Actual",$C$7)),Table157[[#This Row],[Days in month]]/365,1/12)</f>
        <v>2.9708333333333331E-3</v>
      </c>
    </row>
    <row r="129" spans="2:20" x14ac:dyDescent="0.2">
      <c r="B129" s="41">
        <v>49278</v>
      </c>
      <c r="C129" s="4">
        <f t="shared" si="4"/>
        <v>113</v>
      </c>
      <c r="D129" s="32">
        <f t="shared" si="3"/>
        <v>0</v>
      </c>
      <c r="E129" s="32">
        <f>ROUND(Table157[[#This Row],[Beginning Balance]]*Table157[[#This Row],[Monthly Interest Rate]],2)</f>
        <v>0</v>
      </c>
      <c r="F129" s="32">
        <f t="shared" si="5"/>
        <v>143</v>
      </c>
      <c r="G129" s="45">
        <f>IFERROR(IF($C$13="No","N/A",IF(Table157[[#This Row],[Period]]=1,$C$6,PMT(InterestRate*AmortizationMultiplier/12,Table157[[#This Row],[Am Thru]],-Table157[[#This Row],[Beginning Balance]]))),0)</f>
        <v>0</v>
      </c>
      <c r="H129" s="32">
        <f>MAX(0,IF(C129=$C$4,D129,ROUND(IF($C$3="Fixed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2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2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29" s="32">
        <f>ROUND(Table157[[#This Row],[Defaulted Principal]]*IF($C$9="No",$E$4,VLOOKUP(Table157[[#This Row],[Period]],[1]Forecast!$H$2:$L$1048576,3,FALSE)),2)</f>
        <v>0</v>
      </c>
      <c r="L129" s="4">
        <f>Table157[[#This Row],[Period]]+$E$9</f>
        <v>125</v>
      </c>
      <c r="M129" s="32">
        <f>Table157[[#This Row],[Defaulted Principal]]-Table157[[#This Row],[Estimated Loss]]</f>
        <v>0</v>
      </c>
      <c r="N129" s="32">
        <f>IFERROR(VLOOKUP(Table157[[#This Row],[Period]],$L$16:$M$385,2,FALSE),0)</f>
        <v>0</v>
      </c>
      <c r="O129" s="32">
        <f>Table157[[#This Row],[Beginning Balance]]-Table157[[#This Row],[Principal]]-Table157[[#This Row],[Prepayments]]-Table157[[#This Row],[Defaulted Principal]]</f>
        <v>0</v>
      </c>
      <c r="P129" s="32">
        <f>Table157[[#This Row],[Principal]]+Table157[[#This Row],[Interest]]+Table157[[#This Row],[Prepayments]]+Table157[[#This Row],[RecoveredAmount]]</f>
        <v>0</v>
      </c>
      <c r="Q129" s="32">
        <f ca="1">ROUND(Table157[[#This Row],[Cash Flow]]/((1+ActualRateToUse)^(IF(ISNUMBER(SEARCH("Actual",$C$7)),Table157[[#This Row],[Running Total]]/365,Table157[[#This Row],[Period]]/12))),2)</f>
        <v>0</v>
      </c>
      <c r="R129" s="4">
        <f>IF(MONTH(Table157[[#This Row],[Date]])=2,28,DAY(DATE(YEAR(Table157[[#This Row],[Date]]),MONTH(Table157[[#This Row],[Date]])+1,1)-1))</f>
        <v>30</v>
      </c>
      <c r="S129" s="4">
        <f ca="1">SUM(OFFSET(Table157[[#Headers],[Days in month]],1,0):Table157[[#This Row],[Days in month]])</f>
        <v>3438</v>
      </c>
      <c r="T129" s="30">
        <f>InterestRate*AmortizationMultiplier*IF(ISNUMBER(SEARCH("Actual",$C$7)),Table157[[#This Row],[Days in month]]/365,1/12)</f>
        <v>2.8749999999999995E-3</v>
      </c>
    </row>
    <row r="130" spans="2:20" x14ac:dyDescent="0.2">
      <c r="B130" s="41">
        <v>49309</v>
      </c>
      <c r="C130" s="4">
        <f t="shared" si="4"/>
        <v>114</v>
      </c>
      <c r="D130" s="32">
        <f t="shared" si="3"/>
        <v>0</v>
      </c>
      <c r="E130" s="32">
        <f>ROUND(Table157[[#This Row],[Beginning Balance]]*Table157[[#This Row],[Monthly Interest Rate]],2)</f>
        <v>0</v>
      </c>
      <c r="F130" s="32">
        <f t="shared" si="5"/>
        <v>142</v>
      </c>
      <c r="G130" s="45">
        <f>IFERROR(IF($C$13="No","N/A",IF(Table157[[#This Row],[Period]]=1,$C$6,PMT(InterestRate*AmortizationMultiplier/12,Table157[[#This Row],[Am Thru]],-Table157[[#This Row],[Beginning Balance]]))),0)</f>
        <v>0</v>
      </c>
      <c r="H130" s="32">
        <f>MAX(0,IF(C130=$C$4,D130,ROUND(IF($C$3="Fixed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0" s="32">
        <f>ROUND(Table157[[#This Row],[Defaulted Principal]]*IF($C$9="No",$E$4,VLOOKUP(Table157[[#This Row],[Period]],[1]Forecast!$H$2:$L$1048576,3,FALSE)),2)</f>
        <v>0</v>
      </c>
      <c r="L130" s="4">
        <f>Table157[[#This Row],[Period]]+$E$9</f>
        <v>126</v>
      </c>
      <c r="M130" s="32">
        <f>Table157[[#This Row],[Defaulted Principal]]-Table157[[#This Row],[Estimated Loss]]</f>
        <v>0</v>
      </c>
      <c r="N130" s="32">
        <f>IFERROR(VLOOKUP(Table157[[#This Row],[Period]],$L$16:$M$385,2,FALSE),0)</f>
        <v>0</v>
      </c>
      <c r="O130" s="32">
        <f>Table157[[#This Row],[Beginning Balance]]-Table157[[#This Row],[Principal]]-Table157[[#This Row],[Prepayments]]-Table157[[#This Row],[Defaulted Principal]]</f>
        <v>0</v>
      </c>
      <c r="P130" s="32">
        <f>Table157[[#This Row],[Principal]]+Table157[[#This Row],[Interest]]+Table157[[#This Row],[Prepayments]]+Table157[[#This Row],[RecoveredAmount]]</f>
        <v>0</v>
      </c>
      <c r="Q130" s="32">
        <f ca="1">ROUND(Table157[[#This Row],[Cash Flow]]/((1+ActualRateToUse)^(IF(ISNUMBER(SEARCH("Actual",$C$7)),Table157[[#This Row],[Running Total]]/365,Table157[[#This Row],[Period]]/12))),2)</f>
        <v>0</v>
      </c>
      <c r="R130" s="4">
        <f>IF(MONTH(Table157[[#This Row],[Date]])=2,28,DAY(DATE(YEAR(Table157[[#This Row],[Date]]),MONTH(Table157[[#This Row],[Date]])+1,1)-1))</f>
        <v>31</v>
      </c>
      <c r="S130" s="4">
        <f ca="1">SUM(OFFSET(Table157[[#Headers],[Days in month]],1,0):Table157[[#This Row],[Days in month]])</f>
        <v>3469</v>
      </c>
      <c r="T130" s="30">
        <f>InterestRate*AmortizationMultiplier*IF(ISNUMBER(SEARCH("Actual",$C$7)),Table157[[#This Row],[Days in month]]/365,1/12)</f>
        <v>2.9708333333333331E-3</v>
      </c>
    </row>
    <row r="131" spans="2:20" x14ac:dyDescent="0.2">
      <c r="B131" s="41">
        <v>49340</v>
      </c>
      <c r="C131" s="4">
        <f t="shared" si="4"/>
        <v>115</v>
      </c>
      <c r="D131" s="32">
        <f t="shared" si="3"/>
        <v>0</v>
      </c>
      <c r="E131" s="32">
        <f>ROUND(Table157[[#This Row],[Beginning Balance]]*Table157[[#This Row],[Monthly Interest Rate]],2)</f>
        <v>0</v>
      </c>
      <c r="F131" s="32">
        <f t="shared" si="5"/>
        <v>141</v>
      </c>
      <c r="G131" s="45">
        <f>IFERROR(IF($C$13="No","N/A",IF(Table157[[#This Row],[Period]]=1,$C$6,PMT(InterestRate*AmortizationMultiplier/12,Table157[[#This Row],[Am Thru]],-Table157[[#This Row],[Beginning Balance]]))),0)</f>
        <v>0</v>
      </c>
      <c r="H131" s="32">
        <f>MAX(0,IF(C131=$C$4,D131,ROUND(IF($C$3="Fixed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1" s="32">
        <f>ROUND(Table157[[#This Row],[Defaulted Principal]]*IF($C$9="No",$E$4,VLOOKUP(Table157[[#This Row],[Period]],[1]Forecast!$H$2:$L$1048576,3,FALSE)),2)</f>
        <v>0</v>
      </c>
      <c r="L131" s="4">
        <f>Table157[[#This Row],[Period]]+$E$9</f>
        <v>127</v>
      </c>
      <c r="M131" s="32">
        <f>Table157[[#This Row],[Defaulted Principal]]-Table157[[#This Row],[Estimated Loss]]</f>
        <v>0</v>
      </c>
      <c r="N131" s="32">
        <f>IFERROR(VLOOKUP(Table157[[#This Row],[Period]],$L$16:$M$385,2,FALSE),0)</f>
        <v>0</v>
      </c>
      <c r="O131" s="32">
        <f>Table157[[#This Row],[Beginning Balance]]-Table157[[#This Row],[Principal]]-Table157[[#This Row],[Prepayments]]-Table157[[#This Row],[Defaulted Principal]]</f>
        <v>0</v>
      </c>
      <c r="P131" s="32">
        <f>Table157[[#This Row],[Principal]]+Table157[[#This Row],[Interest]]+Table157[[#This Row],[Prepayments]]+Table157[[#This Row],[RecoveredAmount]]</f>
        <v>0</v>
      </c>
      <c r="Q131" s="32">
        <f ca="1">ROUND(Table157[[#This Row],[Cash Flow]]/((1+ActualRateToUse)^(IF(ISNUMBER(SEARCH("Actual",$C$7)),Table157[[#This Row],[Running Total]]/365,Table157[[#This Row],[Period]]/12))),2)</f>
        <v>0</v>
      </c>
      <c r="R131" s="4">
        <f>IF(MONTH(Table157[[#This Row],[Date]])=2,28,DAY(DATE(YEAR(Table157[[#This Row],[Date]]),MONTH(Table157[[#This Row],[Date]])+1,1)-1))</f>
        <v>31</v>
      </c>
      <c r="S131" s="4">
        <f ca="1">SUM(OFFSET(Table157[[#Headers],[Days in month]],1,0):Table157[[#This Row],[Days in month]])</f>
        <v>3500</v>
      </c>
      <c r="T131" s="30">
        <f>InterestRate*AmortizationMultiplier*IF(ISNUMBER(SEARCH("Actual",$C$7)),Table157[[#This Row],[Days in month]]/365,1/12)</f>
        <v>2.9708333333333331E-3</v>
      </c>
    </row>
    <row r="132" spans="2:20" x14ac:dyDescent="0.2">
      <c r="B132" s="41">
        <v>49368</v>
      </c>
      <c r="C132" s="4">
        <f t="shared" si="4"/>
        <v>116</v>
      </c>
      <c r="D132" s="32">
        <f t="shared" si="3"/>
        <v>0</v>
      </c>
      <c r="E132" s="32">
        <f>ROUND(Table157[[#This Row],[Beginning Balance]]*Table157[[#This Row],[Monthly Interest Rate]],2)</f>
        <v>0</v>
      </c>
      <c r="F132" s="32">
        <f t="shared" si="5"/>
        <v>140</v>
      </c>
      <c r="G132" s="45">
        <f>IFERROR(IF($C$13="No","N/A",IF(Table157[[#This Row],[Period]]=1,$C$6,PMT(InterestRate*AmortizationMultiplier/12,Table157[[#This Row],[Am Thru]],-Table157[[#This Row],[Beginning Balance]]))),0)</f>
        <v>0</v>
      </c>
      <c r="H132" s="32">
        <f>MAX(0,IF(C132=$C$4,D132,ROUND(IF($C$3="Fixed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2" s="32">
        <f>ROUND(Table157[[#This Row],[Defaulted Principal]]*IF($C$9="No",$E$4,VLOOKUP(Table157[[#This Row],[Period]],[1]Forecast!$H$2:$L$1048576,3,FALSE)),2)</f>
        <v>0</v>
      </c>
      <c r="L132" s="4">
        <f>Table157[[#This Row],[Period]]+$E$9</f>
        <v>128</v>
      </c>
      <c r="M132" s="32">
        <f>Table157[[#This Row],[Defaulted Principal]]-Table157[[#This Row],[Estimated Loss]]</f>
        <v>0</v>
      </c>
      <c r="N132" s="32">
        <f>IFERROR(VLOOKUP(Table157[[#This Row],[Period]],$L$16:$M$385,2,FALSE),0)</f>
        <v>0</v>
      </c>
      <c r="O132" s="32">
        <f>Table157[[#This Row],[Beginning Balance]]-Table157[[#This Row],[Principal]]-Table157[[#This Row],[Prepayments]]-Table157[[#This Row],[Defaulted Principal]]</f>
        <v>0</v>
      </c>
      <c r="P132" s="32">
        <f>Table157[[#This Row],[Principal]]+Table157[[#This Row],[Interest]]+Table157[[#This Row],[Prepayments]]+Table157[[#This Row],[RecoveredAmount]]</f>
        <v>0</v>
      </c>
      <c r="Q132" s="32">
        <f ca="1">ROUND(Table157[[#This Row],[Cash Flow]]/((1+ActualRateToUse)^(IF(ISNUMBER(SEARCH("Actual",$C$7)),Table157[[#This Row],[Running Total]]/365,Table157[[#This Row],[Period]]/12))),2)</f>
        <v>0</v>
      </c>
      <c r="R132" s="4">
        <f>IF(MONTH(Table157[[#This Row],[Date]])=2,28,DAY(DATE(YEAR(Table157[[#This Row],[Date]]),MONTH(Table157[[#This Row],[Date]])+1,1)-1))</f>
        <v>28</v>
      </c>
      <c r="S132" s="4">
        <f ca="1">SUM(OFFSET(Table157[[#Headers],[Days in month]],1,0):Table157[[#This Row],[Days in month]])</f>
        <v>3528</v>
      </c>
      <c r="T132" s="30">
        <f>InterestRate*AmortizationMultiplier*IF(ISNUMBER(SEARCH("Actual",$C$7)),Table157[[#This Row],[Days in month]]/365,1/12)</f>
        <v>2.6833333333333336E-3</v>
      </c>
    </row>
    <row r="133" spans="2:20" x14ac:dyDescent="0.2">
      <c r="B133" s="41">
        <v>49399</v>
      </c>
      <c r="C133" s="4">
        <f t="shared" si="4"/>
        <v>117</v>
      </c>
      <c r="D133" s="32">
        <f t="shared" si="3"/>
        <v>0</v>
      </c>
      <c r="E133" s="32">
        <f>ROUND(Table157[[#This Row],[Beginning Balance]]*Table157[[#This Row],[Monthly Interest Rate]],2)</f>
        <v>0</v>
      </c>
      <c r="F133" s="32">
        <f t="shared" si="5"/>
        <v>139</v>
      </c>
      <c r="G133" s="45">
        <f>IFERROR(IF($C$13="No","N/A",IF(Table157[[#This Row],[Period]]=1,$C$6,PMT(InterestRate*AmortizationMultiplier/12,Table157[[#This Row],[Am Thru]],-Table157[[#This Row],[Beginning Balance]]))),0)</f>
        <v>0</v>
      </c>
      <c r="H133" s="32">
        <f>MAX(0,IF(C133=$C$4,D133,ROUND(IF($C$3="Fixed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3" s="32">
        <f>ROUND(Table157[[#This Row],[Defaulted Principal]]*IF($C$9="No",$E$4,VLOOKUP(Table157[[#This Row],[Period]],[1]Forecast!$H$2:$L$1048576,3,FALSE)),2)</f>
        <v>0</v>
      </c>
      <c r="L133" s="4">
        <f>Table157[[#This Row],[Period]]+$E$9</f>
        <v>129</v>
      </c>
      <c r="M133" s="32">
        <f>Table157[[#This Row],[Defaulted Principal]]-Table157[[#This Row],[Estimated Loss]]</f>
        <v>0</v>
      </c>
      <c r="N133" s="32">
        <f>IFERROR(VLOOKUP(Table157[[#This Row],[Period]],$L$16:$M$385,2,FALSE),0)</f>
        <v>0</v>
      </c>
      <c r="O133" s="32">
        <f>Table157[[#This Row],[Beginning Balance]]-Table157[[#This Row],[Principal]]-Table157[[#This Row],[Prepayments]]-Table157[[#This Row],[Defaulted Principal]]</f>
        <v>0</v>
      </c>
      <c r="P133" s="32">
        <f>Table157[[#This Row],[Principal]]+Table157[[#This Row],[Interest]]+Table157[[#This Row],[Prepayments]]+Table157[[#This Row],[RecoveredAmount]]</f>
        <v>0</v>
      </c>
      <c r="Q133" s="32">
        <f ca="1">ROUND(Table157[[#This Row],[Cash Flow]]/((1+ActualRateToUse)^(IF(ISNUMBER(SEARCH("Actual",$C$7)),Table157[[#This Row],[Running Total]]/365,Table157[[#This Row],[Period]]/12))),2)</f>
        <v>0</v>
      </c>
      <c r="R133" s="4">
        <f>IF(MONTH(Table157[[#This Row],[Date]])=2,28,DAY(DATE(YEAR(Table157[[#This Row],[Date]]),MONTH(Table157[[#This Row],[Date]])+1,1)-1))</f>
        <v>31</v>
      </c>
      <c r="S133" s="4">
        <f ca="1">SUM(OFFSET(Table157[[#Headers],[Days in month]],1,0):Table157[[#This Row],[Days in month]])</f>
        <v>3559</v>
      </c>
      <c r="T133" s="30">
        <f>InterestRate*AmortizationMultiplier*IF(ISNUMBER(SEARCH("Actual",$C$7)),Table157[[#This Row],[Days in month]]/365,1/12)</f>
        <v>2.9708333333333331E-3</v>
      </c>
    </row>
    <row r="134" spans="2:20" x14ac:dyDescent="0.2">
      <c r="B134" s="41">
        <v>49429</v>
      </c>
      <c r="C134" s="4">
        <f t="shared" si="4"/>
        <v>118</v>
      </c>
      <c r="D134" s="32">
        <f t="shared" si="3"/>
        <v>0</v>
      </c>
      <c r="E134" s="32">
        <f>ROUND(Table157[[#This Row],[Beginning Balance]]*Table157[[#This Row],[Monthly Interest Rate]],2)</f>
        <v>0</v>
      </c>
      <c r="F134" s="32">
        <f t="shared" si="5"/>
        <v>138</v>
      </c>
      <c r="G134" s="45">
        <f>IFERROR(IF($C$13="No","N/A",IF(Table157[[#This Row],[Period]]=1,$C$6,PMT(InterestRate*AmortizationMultiplier/12,Table157[[#This Row],[Am Thru]],-Table157[[#This Row],[Beginning Balance]]))),0)</f>
        <v>0</v>
      </c>
      <c r="H134" s="32">
        <f>MAX(0,IF(C134=$C$4,D134,ROUND(IF($C$3="Fixed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4" s="32">
        <f>ROUND(Table157[[#This Row],[Defaulted Principal]]*IF($C$9="No",$E$4,VLOOKUP(Table157[[#This Row],[Period]],[1]Forecast!$H$2:$L$1048576,3,FALSE)),2)</f>
        <v>0</v>
      </c>
      <c r="L134" s="4">
        <f>Table157[[#This Row],[Period]]+$E$9</f>
        <v>130</v>
      </c>
      <c r="M134" s="32">
        <f>Table157[[#This Row],[Defaulted Principal]]-Table157[[#This Row],[Estimated Loss]]</f>
        <v>0</v>
      </c>
      <c r="N134" s="32">
        <f>IFERROR(VLOOKUP(Table157[[#This Row],[Period]],$L$16:$M$385,2,FALSE),0)</f>
        <v>0</v>
      </c>
      <c r="O134" s="32">
        <f>Table157[[#This Row],[Beginning Balance]]-Table157[[#This Row],[Principal]]-Table157[[#This Row],[Prepayments]]-Table157[[#This Row],[Defaulted Principal]]</f>
        <v>0</v>
      </c>
      <c r="P134" s="32">
        <f>Table157[[#This Row],[Principal]]+Table157[[#This Row],[Interest]]+Table157[[#This Row],[Prepayments]]+Table157[[#This Row],[RecoveredAmount]]</f>
        <v>0</v>
      </c>
      <c r="Q134" s="32">
        <f ca="1">ROUND(Table157[[#This Row],[Cash Flow]]/((1+ActualRateToUse)^(IF(ISNUMBER(SEARCH("Actual",$C$7)),Table157[[#This Row],[Running Total]]/365,Table157[[#This Row],[Period]]/12))),2)</f>
        <v>0</v>
      </c>
      <c r="R134" s="4">
        <f>IF(MONTH(Table157[[#This Row],[Date]])=2,28,DAY(DATE(YEAR(Table157[[#This Row],[Date]]),MONTH(Table157[[#This Row],[Date]])+1,1)-1))</f>
        <v>30</v>
      </c>
      <c r="S134" s="4">
        <f ca="1">SUM(OFFSET(Table157[[#Headers],[Days in month]],1,0):Table157[[#This Row],[Days in month]])</f>
        <v>3589</v>
      </c>
      <c r="T134" s="30">
        <f>InterestRate*AmortizationMultiplier*IF(ISNUMBER(SEARCH("Actual",$C$7)),Table157[[#This Row],[Days in month]]/365,1/12)</f>
        <v>2.8749999999999995E-3</v>
      </c>
    </row>
    <row r="135" spans="2:20" x14ac:dyDescent="0.2">
      <c r="B135" s="41">
        <v>49460</v>
      </c>
      <c r="C135" s="4">
        <f t="shared" si="4"/>
        <v>119</v>
      </c>
      <c r="D135" s="32">
        <f t="shared" si="3"/>
        <v>0</v>
      </c>
      <c r="E135" s="32">
        <f>ROUND(Table157[[#This Row],[Beginning Balance]]*Table157[[#This Row],[Monthly Interest Rate]],2)</f>
        <v>0</v>
      </c>
      <c r="F135" s="32">
        <f t="shared" si="5"/>
        <v>137</v>
      </c>
      <c r="G135" s="45">
        <f>IFERROR(IF($C$13="No","N/A",IF(Table157[[#This Row],[Period]]=1,$C$6,PMT(InterestRate*AmortizationMultiplier/12,Table157[[#This Row],[Am Thru]],-Table157[[#This Row],[Beginning Balance]]))),0)</f>
        <v>0</v>
      </c>
      <c r="H135" s="32">
        <f>MAX(0,IF(C135=$C$4,D135,ROUND(IF($C$3="Fixed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5" s="32">
        <f>ROUND(Table157[[#This Row],[Defaulted Principal]]*IF($C$9="No",$E$4,VLOOKUP(Table157[[#This Row],[Period]],[1]Forecast!$H$2:$L$1048576,3,FALSE)),2)</f>
        <v>0</v>
      </c>
      <c r="L135" s="4">
        <f>Table157[[#This Row],[Period]]+$E$9</f>
        <v>131</v>
      </c>
      <c r="M135" s="32">
        <f>Table157[[#This Row],[Defaulted Principal]]-Table157[[#This Row],[Estimated Loss]]</f>
        <v>0</v>
      </c>
      <c r="N135" s="32">
        <f>IFERROR(VLOOKUP(Table157[[#This Row],[Period]],$L$16:$M$385,2,FALSE),0)</f>
        <v>0</v>
      </c>
      <c r="O135" s="32">
        <f>Table157[[#This Row],[Beginning Balance]]-Table157[[#This Row],[Principal]]-Table157[[#This Row],[Prepayments]]-Table157[[#This Row],[Defaulted Principal]]</f>
        <v>0</v>
      </c>
      <c r="P135" s="32">
        <f>Table157[[#This Row],[Principal]]+Table157[[#This Row],[Interest]]+Table157[[#This Row],[Prepayments]]+Table157[[#This Row],[RecoveredAmount]]</f>
        <v>0</v>
      </c>
      <c r="Q135" s="32">
        <f ca="1">ROUND(Table157[[#This Row],[Cash Flow]]/((1+ActualRateToUse)^(IF(ISNUMBER(SEARCH("Actual",$C$7)),Table157[[#This Row],[Running Total]]/365,Table157[[#This Row],[Period]]/12))),2)</f>
        <v>0</v>
      </c>
      <c r="R135" s="4">
        <f>IF(MONTH(Table157[[#This Row],[Date]])=2,28,DAY(DATE(YEAR(Table157[[#This Row],[Date]]),MONTH(Table157[[#This Row],[Date]])+1,1)-1))</f>
        <v>31</v>
      </c>
      <c r="S135" s="4">
        <f ca="1">SUM(OFFSET(Table157[[#Headers],[Days in month]],1,0):Table157[[#This Row],[Days in month]])</f>
        <v>3620</v>
      </c>
      <c r="T135" s="30">
        <f>InterestRate*AmortizationMultiplier*IF(ISNUMBER(SEARCH("Actual",$C$7)),Table157[[#This Row],[Days in month]]/365,1/12)</f>
        <v>2.9708333333333331E-3</v>
      </c>
    </row>
    <row r="136" spans="2:20" x14ac:dyDescent="0.2">
      <c r="B136" s="41">
        <v>49490</v>
      </c>
      <c r="C136" s="4">
        <f t="shared" si="4"/>
        <v>120</v>
      </c>
      <c r="D136" s="32">
        <f t="shared" si="3"/>
        <v>0</v>
      </c>
      <c r="E136" s="32">
        <f>ROUND(Table157[[#This Row],[Beginning Balance]]*Table157[[#This Row],[Monthly Interest Rate]],2)</f>
        <v>0</v>
      </c>
      <c r="F136" s="32">
        <f t="shared" si="5"/>
        <v>136</v>
      </c>
      <c r="G136" s="45">
        <f>IFERROR(IF($C$13="No","N/A",IF(Table157[[#This Row],[Period]]=1,$C$6,PMT(InterestRate*AmortizationMultiplier/12,Table157[[#This Row],[Am Thru]],-Table157[[#This Row],[Beginning Balance]]))),0)</f>
        <v>0</v>
      </c>
      <c r="H136" s="32">
        <f>MAX(0,IF(C136=$C$4,D136,ROUND(IF($C$3="Fixed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6" s="32">
        <f>ROUND(Table157[[#This Row],[Defaulted Principal]]*IF($C$9="No",$E$4,VLOOKUP(Table157[[#This Row],[Period]],[1]Forecast!$H$2:$L$1048576,3,FALSE)),2)</f>
        <v>0</v>
      </c>
      <c r="L136" s="4">
        <f>Table157[[#This Row],[Period]]+$E$9</f>
        <v>132</v>
      </c>
      <c r="M136" s="32">
        <f>Table157[[#This Row],[Defaulted Principal]]-Table157[[#This Row],[Estimated Loss]]</f>
        <v>0</v>
      </c>
      <c r="N136" s="32">
        <f>IFERROR(VLOOKUP(Table157[[#This Row],[Period]],$L$16:$M$385,2,FALSE),0)</f>
        <v>0</v>
      </c>
      <c r="O136" s="32">
        <f>Table157[[#This Row],[Beginning Balance]]-Table157[[#This Row],[Principal]]-Table157[[#This Row],[Prepayments]]-Table157[[#This Row],[Defaulted Principal]]</f>
        <v>0</v>
      </c>
      <c r="P136" s="32">
        <f>Table157[[#This Row],[Principal]]+Table157[[#This Row],[Interest]]+Table157[[#This Row],[Prepayments]]+Table157[[#This Row],[RecoveredAmount]]</f>
        <v>0</v>
      </c>
      <c r="Q136" s="32">
        <f ca="1">ROUND(Table157[[#This Row],[Cash Flow]]/((1+ActualRateToUse)^(IF(ISNUMBER(SEARCH("Actual",$C$7)),Table157[[#This Row],[Running Total]]/365,Table157[[#This Row],[Period]]/12))),2)</f>
        <v>0</v>
      </c>
      <c r="R136" s="4">
        <f>IF(MONTH(Table157[[#This Row],[Date]])=2,28,DAY(DATE(YEAR(Table157[[#This Row],[Date]]),MONTH(Table157[[#This Row],[Date]])+1,1)-1))</f>
        <v>30</v>
      </c>
      <c r="S136" s="4">
        <f ca="1">SUM(OFFSET(Table157[[#Headers],[Days in month]],1,0):Table157[[#This Row],[Days in month]])</f>
        <v>3650</v>
      </c>
      <c r="T136" s="30">
        <f>InterestRate*AmortizationMultiplier*IF(ISNUMBER(SEARCH("Actual",$C$7)),Table157[[#This Row],[Days in month]]/365,1/12)</f>
        <v>2.8749999999999995E-3</v>
      </c>
    </row>
    <row r="137" spans="2:20" x14ac:dyDescent="0.2">
      <c r="B137" s="41">
        <v>49521</v>
      </c>
      <c r="C137" s="4">
        <f t="shared" si="4"/>
        <v>121</v>
      </c>
      <c r="D137" s="32">
        <f t="shared" si="3"/>
        <v>0</v>
      </c>
      <c r="E137" s="32">
        <f>ROUND(Table157[[#This Row],[Beginning Balance]]*Table157[[#This Row],[Monthly Interest Rate]],2)</f>
        <v>0</v>
      </c>
      <c r="F137" s="32">
        <f t="shared" si="5"/>
        <v>135</v>
      </c>
      <c r="G137" s="45">
        <f>IFERROR(IF($C$13="No","N/A",IF(Table157[[#This Row],[Period]]=1,$C$6,PMT(InterestRate*AmortizationMultiplier/12,Table157[[#This Row],[Am Thru]],-Table157[[#This Row],[Beginning Balance]]))),0)</f>
        <v>0</v>
      </c>
      <c r="H137" s="32">
        <f>MAX(0,IF(C137=$C$4,D137,ROUND(IF($C$3="Fixed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7" s="32">
        <f>ROUND(Table157[[#This Row],[Defaulted Principal]]*IF($C$9="No",$E$4,VLOOKUP(Table157[[#This Row],[Period]],[1]Forecast!$H$2:$L$1048576,3,FALSE)),2)</f>
        <v>0</v>
      </c>
      <c r="L137" s="4">
        <f>Table157[[#This Row],[Period]]+$E$9</f>
        <v>133</v>
      </c>
      <c r="M137" s="32">
        <f>Table157[[#This Row],[Defaulted Principal]]-Table157[[#This Row],[Estimated Loss]]</f>
        <v>0</v>
      </c>
      <c r="N137" s="32">
        <f>IFERROR(VLOOKUP(Table157[[#This Row],[Period]],$L$16:$M$385,2,FALSE),0)</f>
        <v>0</v>
      </c>
      <c r="O137" s="32">
        <f>Table157[[#This Row],[Beginning Balance]]-Table157[[#This Row],[Principal]]-Table157[[#This Row],[Prepayments]]-Table157[[#This Row],[Defaulted Principal]]</f>
        <v>0</v>
      </c>
      <c r="P137" s="32">
        <f>Table157[[#This Row],[Principal]]+Table157[[#This Row],[Interest]]+Table157[[#This Row],[Prepayments]]+Table157[[#This Row],[RecoveredAmount]]</f>
        <v>0</v>
      </c>
      <c r="Q137" s="32">
        <f ca="1">ROUND(Table157[[#This Row],[Cash Flow]]/((1+ActualRateToUse)^(IF(ISNUMBER(SEARCH("Actual",$C$7)),Table157[[#This Row],[Running Total]]/365,Table157[[#This Row],[Period]]/12))),2)</f>
        <v>0</v>
      </c>
      <c r="R137" s="4">
        <f>IF(MONTH(Table157[[#This Row],[Date]])=2,28,DAY(DATE(YEAR(Table157[[#This Row],[Date]]),MONTH(Table157[[#This Row],[Date]])+1,1)-1))</f>
        <v>31</v>
      </c>
      <c r="S137" s="4">
        <f ca="1">SUM(OFFSET(Table157[[#Headers],[Days in month]],1,0):Table157[[#This Row],[Days in month]])</f>
        <v>3681</v>
      </c>
      <c r="T137" s="30">
        <f>InterestRate*AmortizationMultiplier*IF(ISNUMBER(SEARCH("Actual",$C$7)),Table157[[#This Row],[Days in month]]/365,1/12)</f>
        <v>2.9708333333333331E-3</v>
      </c>
    </row>
    <row r="138" spans="2:20" x14ac:dyDescent="0.2">
      <c r="B138" s="41">
        <v>49552</v>
      </c>
      <c r="C138" s="4">
        <f t="shared" si="4"/>
        <v>122</v>
      </c>
      <c r="D138" s="32">
        <f t="shared" si="3"/>
        <v>0</v>
      </c>
      <c r="E138" s="32">
        <f>ROUND(Table157[[#This Row],[Beginning Balance]]*Table157[[#This Row],[Monthly Interest Rate]],2)</f>
        <v>0</v>
      </c>
      <c r="F138" s="32">
        <f t="shared" si="5"/>
        <v>134</v>
      </c>
      <c r="G138" s="45">
        <f>IFERROR(IF($C$13="No","N/A",IF(Table157[[#This Row],[Period]]=1,$C$6,PMT(InterestRate*AmortizationMultiplier/12,Table157[[#This Row],[Am Thru]],-Table157[[#This Row],[Beginning Balance]]))),0)</f>
        <v>0</v>
      </c>
      <c r="H138" s="32">
        <f>MAX(0,IF(C138=$C$4,D138,ROUND(IF($C$3="Fixed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8" s="32">
        <f>ROUND(Table157[[#This Row],[Defaulted Principal]]*IF($C$9="No",$E$4,VLOOKUP(Table157[[#This Row],[Period]],[1]Forecast!$H$2:$L$1048576,3,FALSE)),2)</f>
        <v>0</v>
      </c>
      <c r="L138" s="4">
        <f>Table157[[#This Row],[Period]]+$E$9</f>
        <v>134</v>
      </c>
      <c r="M138" s="32">
        <f>Table157[[#This Row],[Defaulted Principal]]-Table157[[#This Row],[Estimated Loss]]</f>
        <v>0</v>
      </c>
      <c r="N138" s="32">
        <f>IFERROR(VLOOKUP(Table157[[#This Row],[Period]],$L$16:$M$385,2,FALSE),0)</f>
        <v>0</v>
      </c>
      <c r="O138" s="32">
        <f>Table157[[#This Row],[Beginning Balance]]-Table157[[#This Row],[Principal]]-Table157[[#This Row],[Prepayments]]-Table157[[#This Row],[Defaulted Principal]]</f>
        <v>0</v>
      </c>
      <c r="P138" s="32">
        <f>Table157[[#This Row],[Principal]]+Table157[[#This Row],[Interest]]+Table157[[#This Row],[Prepayments]]+Table157[[#This Row],[RecoveredAmount]]</f>
        <v>0</v>
      </c>
      <c r="Q138" s="32">
        <f ca="1">ROUND(Table157[[#This Row],[Cash Flow]]/((1+ActualRateToUse)^(IF(ISNUMBER(SEARCH("Actual",$C$7)),Table157[[#This Row],[Running Total]]/365,Table157[[#This Row],[Period]]/12))),2)</f>
        <v>0</v>
      </c>
      <c r="R138" s="4">
        <f>IF(MONTH(Table157[[#This Row],[Date]])=2,28,DAY(DATE(YEAR(Table157[[#This Row],[Date]]),MONTH(Table157[[#This Row],[Date]])+1,1)-1))</f>
        <v>31</v>
      </c>
      <c r="S138" s="4">
        <f ca="1">SUM(OFFSET(Table157[[#Headers],[Days in month]],1,0):Table157[[#This Row],[Days in month]])</f>
        <v>3712</v>
      </c>
      <c r="T138" s="30">
        <f>InterestRate*AmortizationMultiplier*IF(ISNUMBER(SEARCH("Actual",$C$7)),Table157[[#This Row],[Days in month]]/365,1/12)</f>
        <v>2.9708333333333331E-3</v>
      </c>
    </row>
    <row r="139" spans="2:20" x14ac:dyDescent="0.2">
      <c r="B139" s="41">
        <f t="shared" ref="B139:B202" si="6">EOMONTH(B138,1)</f>
        <v>49582</v>
      </c>
      <c r="C139" s="4">
        <f t="shared" si="4"/>
        <v>123</v>
      </c>
      <c r="D139" s="32">
        <f t="shared" si="3"/>
        <v>0</v>
      </c>
      <c r="E139" s="32">
        <f>ROUND(Table157[[#This Row],[Beginning Balance]]*Table157[[#This Row],[Monthly Interest Rate]],2)</f>
        <v>0</v>
      </c>
      <c r="F139" s="32">
        <f t="shared" si="5"/>
        <v>133</v>
      </c>
      <c r="G139" s="45">
        <f>IFERROR(IF($C$13="No","N/A",IF(Table157[[#This Row],[Period]]=1,$C$6,PMT(InterestRate*AmortizationMultiplier/12,Table157[[#This Row],[Am Thru]],-Table157[[#This Row],[Beginning Balance]]))),0)</f>
        <v>0</v>
      </c>
      <c r="H139" s="32">
        <f>MAX(0,IF(C139=$C$4,D139,ROUND(IF($C$3="Fixed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3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3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39" s="32">
        <f>ROUND(Table157[[#This Row],[Defaulted Principal]]*IF($C$9="No",$E$4,VLOOKUP(Table157[[#This Row],[Period]],[1]Forecast!$H$2:$L$1048576,3,FALSE)),2)</f>
        <v>0</v>
      </c>
      <c r="L139" s="4">
        <f>Table157[[#This Row],[Period]]+$E$9</f>
        <v>135</v>
      </c>
      <c r="M139" s="32">
        <f>Table157[[#This Row],[Defaulted Principal]]-Table157[[#This Row],[Estimated Loss]]</f>
        <v>0</v>
      </c>
      <c r="N139" s="32">
        <f>IFERROR(VLOOKUP(Table157[[#This Row],[Period]],$L$16:$M$385,2,FALSE),0)</f>
        <v>0</v>
      </c>
      <c r="O139" s="32">
        <f>Table157[[#This Row],[Beginning Balance]]-Table157[[#This Row],[Principal]]-Table157[[#This Row],[Prepayments]]-Table157[[#This Row],[Defaulted Principal]]</f>
        <v>0</v>
      </c>
      <c r="P139" s="32">
        <f>Table157[[#This Row],[Principal]]+Table157[[#This Row],[Interest]]+Table157[[#This Row],[Prepayments]]+Table157[[#This Row],[RecoveredAmount]]</f>
        <v>0</v>
      </c>
      <c r="Q139" s="32">
        <f ca="1">ROUND(Table157[[#This Row],[Cash Flow]]/((1+ActualRateToUse)^(IF(ISNUMBER(SEARCH("Actual",$C$7)),Table157[[#This Row],[Running Total]]/365,Table157[[#This Row],[Period]]/12))),2)</f>
        <v>0</v>
      </c>
      <c r="R139" s="4">
        <f>IF(MONTH(Table157[[#This Row],[Date]])=2,28,DAY(DATE(YEAR(Table157[[#This Row],[Date]]),MONTH(Table157[[#This Row],[Date]])+1,1)-1))</f>
        <v>30</v>
      </c>
      <c r="S139" s="4">
        <f ca="1">SUM(OFFSET(Table157[[#Headers],[Days in month]],1,0):Table157[[#This Row],[Days in month]])</f>
        <v>3742</v>
      </c>
      <c r="T139" s="30">
        <f>InterestRate*AmortizationMultiplier*IF(ISNUMBER(SEARCH("Actual",$C$7)),Table157[[#This Row],[Days in month]]/365,1/12)</f>
        <v>2.8749999999999995E-3</v>
      </c>
    </row>
    <row r="140" spans="2:20" x14ac:dyDescent="0.2">
      <c r="B140" s="41">
        <f t="shared" si="6"/>
        <v>49613</v>
      </c>
      <c r="C140" s="4">
        <f t="shared" si="4"/>
        <v>124</v>
      </c>
      <c r="D140" s="32">
        <f t="shared" si="3"/>
        <v>0</v>
      </c>
      <c r="E140" s="32">
        <f>ROUND(Table157[[#This Row],[Beginning Balance]]*Table157[[#This Row],[Monthly Interest Rate]],2)</f>
        <v>0</v>
      </c>
      <c r="F140" s="32">
        <f t="shared" si="5"/>
        <v>132</v>
      </c>
      <c r="G140" s="45">
        <f>IFERROR(IF($C$13="No","N/A",IF(Table157[[#This Row],[Period]]=1,$C$6,PMT(InterestRate*AmortizationMultiplier/12,Table157[[#This Row],[Am Thru]],-Table157[[#This Row],[Beginning Balance]]))),0)</f>
        <v>0</v>
      </c>
      <c r="H140" s="32">
        <f>MAX(0,IF(C140=$C$4,D140,ROUND(IF($C$3="Fixed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0" s="32">
        <f>ROUND(Table157[[#This Row],[Defaulted Principal]]*IF($C$9="No",$E$4,VLOOKUP(Table157[[#This Row],[Period]],[1]Forecast!$H$2:$L$1048576,3,FALSE)),2)</f>
        <v>0</v>
      </c>
      <c r="L140" s="4">
        <f>Table157[[#This Row],[Period]]+$E$9</f>
        <v>136</v>
      </c>
      <c r="M140" s="32">
        <f>Table157[[#This Row],[Defaulted Principal]]-Table157[[#This Row],[Estimated Loss]]</f>
        <v>0</v>
      </c>
      <c r="N140" s="32">
        <f>IFERROR(VLOOKUP(Table157[[#This Row],[Period]],$L$16:$M$385,2,FALSE),0)</f>
        <v>0</v>
      </c>
      <c r="O140" s="32">
        <f>Table157[[#This Row],[Beginning Balance]]-Table157[[#This Row],[Principal]]-Table157[[#This Row],[Prepayments]]-Table157[[#This Row],[Defaulted Principal]]</f>
        <v>0</v>
      </c>
      <c r="P140" s="32">
        <f>Table157[[#This Row],[Principal]]+Table157[[#This Row],[Interest]]+Table157[[#This Row],[Prepayments]]+Table157[[#This Row],[RecoveredAmount]]</f>
        <v>0</v>
      </c>
      <c r="Q140" s="32">
        <f ca="1">ROUND(Table157[[#This Row],[Cash Flow]]/((1+ActualRateToUse)^(IF(ISNUMBER(SEARCH("Actual",$C$7)),Table157[[#This Row],[Running Total]]/365,Table157[[#This Row],[Period]]/12))),2)</f>
        <v>0</v>
      </c>
      <c r="R140" s="4">
        <f>IF(MONTH(Table157[[#This Row],[Date]])=2,28,DAY(DATE(YEAR(Table157[[#This Row],[Date]]),MONTH(Table157[[#This Row],[Date]])+1,1)-1))</f>
        <v>31</v>
      </c>
      <c r="S140" s="4">
        <f ca="1">SUM(OFFSET(Table157[[#Headers],[Days in month]],1,0):Table157[[#This Row],[Days in month]])</f>
        <v>3773</v>
      </c>
      <c r="T140" s="30">
        <f>InterestRate*AmortizationMultiplier*IF(ISNUMBER(SEARCH("Actual",$C$7)),Table157[[#This Row],[Days in month]]/365,1/12)</f>
        <v>2.9708333333333331E-3</v>
      </c>
    </row>
    <row r="141" spans="2:20" x14ac:dyDescent="0.2">
      <c r="B141" s="41">
        <f t="shared" si="6"/>
        <v>49643</v>
      </c>
      <c r="C141" s="4">
        <f t="shared" si="4"/>
        <v>125</v>
      </c>
      <c r="D141" s="32">
        <f t="shared" si="3"/>
        <v>0</v>
      </c>
      <c r="E141" s="32">
        <f>ROUND(Table157[[#This Row],[Beginning Balance]]*Table157[[#This Row],[Monthly Interest Rate]],2)</f>
        <v>0</v>
      </c>
      <c r="F141" s="32">
        <f t="shared" si="5"/>
        <v>131</v>
      </c>
      <c r="G141" s="45">
        <f>IFERROR(IF($C$13="No","N/A",IF(Table157[[#This Row],[Period]]=1,$C$6,PMT(InterestRate*AmortizationMultiplier/12,Table157[[#This Row],[Am Thru]],-Table157[[#This Row],[Beginning Balance]]))),0)</f>
        <v>0</v>
      </c>
      <c r="H141" s="32">
        <f>MAX(0,IF(C141=$C$4,D141,ROUND(IF($C$3="Fixed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1" s="32">
        <f>ROUND(Table157[[#This Row],[Defaulted Principal]]*IF($C$9="No",$E$4,VLOOKUP(Table157[[#This Row],[Period]],[1]Forecast!$H$2:$L$1048576,3,FALSE)),2)</f>
        <v>0</v>
      </c>
      <c r="L141" s="4">
        <f>Table157[[#This Row],[Period]]+$E$9</f>
        <v>137</v>
      </c>
      <c r="M141" s="32">
        <f>Table157[[#This Row],[Defaulted Principal]]-Table157[[#This Row],[Estimated Loss]]</f>
        <v>0</v>
      </c>
      <c r="N141" s="32">
        <f>IFERROR(VLOOKUP(Table157[[#This Row],[Period]],$L$16:$M$385,2,FALSE),0)</f>
        <v>0</v>
      </c>
      <c r="O141" s="32">
        <f>Table157[[#This Row],[Beginning Balance]]-Table157[[#This Row],[Principal]]-Table157[[#This Row],[Prepayments]]-Table157[[#This Row],[Defaulted Principal]]</f>
        <v>0</v>
      </c>
      <c r="P141" s="32">
        <f>Table157[[#This Row],[Principal]]+Table157[[#This Row],[Interest]]+Table157[[#This Row],[Prepayments]]+Table157[[#This Row],[RecoveredAmount]]</f>
        <v>0</v>
      </c>
      <c r="Q141" s="32">
        <f ca="1">ROUND(Table157[[#This Row],[Cash Flow]]/((1+ActualRateToUse)^(IF(ISNUMBER(SEARCH("Actual",$C$7)),Table157[[#This Row],[Running Total]]/365,Table157[[#This Row],[Period]]/12))),2)</f>
        <v>0</v>
      </c>
      <c r="R141" s="4">
        <f>IF(MONTH(Table157[[#This Row],[Date]])=2,28,DAY(DATE(YEAR(Table157[[#This Row],[Date]]),MONTH(Table157[[#This Row],[Date]])+1,1)-1))</f>
        <v>30</v>
      </c>
      <c r="S141" s="4">
        <f ca="1">SUM(OFFSET(Table157[[#Headers],[Days in month]],1,0):Table157[[#This Row],[Days in month]])</f>
        <v>3803</v>
      </c>
      <c r="T141" s="30">
        <f>InterestRate*AmortizationMultiplier*IF(ISNUMBER(SEARCH("Actual",$C$7)),Table157[[#This Row],[Days in month]]/365,1/12)</f>
        <v>2.8749999999999995E-3</v>
      </c>
    </row>
    <row r="142" spans="2:20" x14ac:dyDescent="0.2">
      <c r="B142" s="41">
        <f t="shared" si="6"/>
        <v>49674</v>
      </c>
      <c r="C142" s="4">
        <f t="shared" si="4"/>
        <v>126</v>
      </c>
      <c r="D142" s="32">
        <f t="shared" si="3"/>
        <v>0</v>
      </c>
      <c r="E142" s="32">
        <f>ROUND(Table157[[#This Row],[Beginning Balance]]*Table157[[#This Row],[Monthly Interest Rate]],2)</f>
        <v>0</v>
      </c>
      <c r="F142" s="32">
        <f t="shared" si="5"/>
        <v>130</v>
      </c>
      <c r="G142" s="45">
        <f>IFERROR(IF($C$13="No","N/A",IF(Table157[[#This Row],[Period]]=1,$C$6,PMT(InterestRate*AmortizationMultiplier/12,Table157[[#This Row],[Am Thru]],-Table157[[#This Row],[Beginning Balance]]))),0)</f>
        <v>0</v>
      </c>
      <c r="H142" s="32">
        <f>MAX(0,IF(C142=$C$4,D142,ROUND(IF($C$3="Fixed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2" s="32">
        <f>ROUND(Table157[[#This Row],[Defaulted Principal]]*IF($C$9="No",$E$4,VLOOKUP(Table157[[#This Row],[Period]],[1]Forecast!$H$2:$L$1048576,3,FALSE)),2)</f>
        <v>0</v>
      </c>
      <c r="L142" s="4">
        <f>Table157[[#This Row],[Period]]+$E$9</f>
        <v>138</v>
      </c>
      <c r="M142" s="32">
        <f>Table157[[#This Row],[Defaulted Principal]]-Table157[[#This Row],[Estimated Loss]]</f>
        <v>0</v>
      </c>
      <c r="N142" s="32">
        <f>IFERROR(VLOOKUP(Table157[[#This Row],[Period]],$L$16:$M$385,2,FALSE),0)</f>
        <v>0</v>
      </c>
      <c r="O142" s="32">
        <f>Table157[[#This Row],[Beginning Balance]]-Table157[[#This Row],[Principal]]-Table157[[#This Row],[Prepayments]]-Table157[[#This Row],[Defaulted Principal]]</f>
        <v>0</v>
      </c>
      <c r="P142" s="32">
        <f>Table157[[#This Row],[Principal]]+Table157[[#This Row],[Interest]]+Table157[[#This Row],[Prepayments]]+Table157[[#This Row],[RecoveredAmount]]</f>
        <v>0</v>
      </c>
      <c r="Q142" s="32">
        <f ca="1">ROUND(Table157[[#This Row],[Cash Flow]]/((1+ActualRateToUse)^(IF(ISNUMBER(SEARCH("Actual",$C$7)),Table157[[#This Row],[Running Total]]/365,Table157[[#This Row],[Period]]/12))),2)</f>
        <v>0</v>
      </c>
      <c r="R142" s="4">
        <f>IF(MONTH(Table157[[#This Row],[Date]])=2,28,DAY(DATE(YEAR(Table157[[#This Row],[Date]]),MONTH(Table157[[#This Row],[Date]])+1,1)-1))</f>
        <v>31</v>
      </c>
      <c r="S142" s="4">
        <f ca="1">SUM(OFFSET(Table157[[#Headers],[Days in month]],1,0):Table157[[#This Row],[Days in month]])</f>
        <v>3834</v>
      </c>
      <c r="T142" s="30">
        <f>InterestRate*AmortizationMultiplier*IF(ISNUMBER(SEARCH("Actual",$C$7)),Table157[[#This Row],[Days in month]]/365,1/12)</f>
        <v>2.9708333333333331E-3</v>
      </c>
    </row>
    <row r="143" spans="2:20" x14ac:dyDescent="0.2">
      <c r="B143" s="41">
        <f t="shared" si="6"/>
        <v>49705</v>
      </c>
      <c r="C143" s="4">
        <f t="shared" si="4"/>
        <v>127</v>
      </c>
      <c r="D143" s="32">
        <f t="shared" si="3"/>
        <v>0</v>
      </c>
      <c r="E143" s="32">
        <f>ROUND(Table157[[#This Row],[Beginning Balance]]*Table157[[#This Row],[Monthly Interest Rate]],2)</f>
        <v>0</v>
      </c>
      <c r="F143" s="32">
        <f t="shared" si="5"/>
        <v>129</v>
      </c>
      <c r="G143" s="45">
        <f>IFERROR(IF($C$13="No","N/A",IF(Table157[[#This Row],[Period]]=1,$C$6,PMT(InterestRate*AmortizationMultiplier/12,Table157[[#This Row],[Am Thru]],-Table157[[#This Row],[Beginning Balance]]))),0)</f>
        <v>0</v>
      </c>
      <c r="H143" s="32">
        <f>MAX(0,IF(C143=$C$4,D143,ROUND(IF($C$3="Fixed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3" s="32">
        <f>ROUND(Table157[[#This Row],[Defaulted Principal]]*IF($C$9="No",$E$4,VLOOKUP(Table157[[#This Row],[Period]],[1]Forecast!$H$2:$L$1048576,3,FALSE)),2)</f>
        <v>0</v>
      </c>
      <c r="L143" s="4">
        <f>Table157[[#This Row],[Period]]+$E$9</f>
        <v>139</v>
      </c>
      <c r="M143" s="32">
        <f>Table157[[#This Row],[Defaulted Principal]]-Table157[[#This Row],[Estimated Loss]]</f>
        <v>0</v>
      </c>
      <c r="N143" s="32">
        <f>IFERROR(VLOOKUP(Table157[[#This Row],[Period]],$L$16:$M$385,2,FALSE),0)</f>
        <v>0</v>
      </c>
      <c r="O143" s="32">
        <f>Table157[[#This Row],[Beginning Balance]]-Table157[[#This Row],[Principal]]-Table157[[#This Row],[Prepayments]]-Table157[[#This Row],[Defaulted Principal]]</f>
        <v>0</v>
      </c>
      <c r="P143" s="32">
        <f>Table157[[#This Row],[Principal]]+Table157[[#This Row],[Interest]]+Table157[[#This Row],[Prepayments]]+Table157[[#This Row],[RecoveredAmount]]</f>
        <v>0</v>
      </c>
      <c r="Q143" s="32">
        <f ca="1">ROUND(Table157[[#This Row],[Cash Flow]]/((1+ActualRateToUse)^(IF(ISNUMBER(SEARCH("Actual",$C$7)),Table157[[#This Row],[Running Total]]/365,Table157[[#This Row],[Period]]/12))),2)</f>
        <v>0</v>
      </c>
      <c r="R143" s="4">
        <f>IF(MONTH(Table157[[#This Row],[Date]])=2,28,DAY(DATE(YEAR(Table157[[#This Row],[Date]]),MONTH(Table157[[#This Row],[Date]])+1,1)-1))</f>
        <v>31</v>
      </c>
      <c r="S143" s="4">
        <f ca="1">SUM(OFFSET(Table157[[#Headers],[Days in month]],1,0):Table157[[#This Row],[Days in month]])</f>
        <v>3865</v>
      </c>
      <c r="T143" s="30">
        <f>InterestRate*AmortizationMultiplier*IF(ISNUMBER(SEARCH("Actual",$C$7)),Table157[[#This Row],[Days in month]]/365,1/12)</f>
        <v>2.9708333333333331E-3</v>
      </c>
    </row>
    <row r="144" spans="2:20" x14ac:dyDescent="0.2">
      <c r="B144" s="41">
        <f t="shared" si="6"/>
        <v>49734</v>
      </c>
      <c r="C144" s="4">
        <f t="shared" si="4"/>
        <v>128</v>
      </c>
      <c r="D144" s="32">
        <f t="shared" si="3"/>
        <v>0</v>
      </c>
      <c r="E144" s="32">
        <f>ROUND(Table157[[#This Row],[Beginning Balance]]*Table157[[#This Row],[Monthly Interest Rate]],2)</f>
        <v>0</v>
      </c>
      <c r="F144" s="32">
        <f t="shared" si="5"/>
        <v>128</v>
      </c>
      <c r="G144" s="45">
        <f>IFERROR(IF($C$13="No","N/A",IF(Table157[[#This Row],[Period]]=1,$C$6,PMT(InterestRate*AmortizationMultiplier/12,Table157[[#This Row],[Am Thru]],-Table157[[#This Row],[Beginning Balance]]))),0)</f>
        <v>0</v>
      </c>
      <c r="H144" s="32">
        <f>MAX(0,IF(C144=$C$4,D144,ROUND(IF($C$3="Fixed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4" s="32">
        <f>ROUND(Table157[[#This Row],[Defaulted Principal]]*IF($C$9="No",$E$4,VLOOKUP(Table157[[#This Row],[Period]],[1]Forecast!$H$2:$L$1048576,3,FALSE)),2)</f>
        <v>0</v>
      </c>
      <c r="L144" s="4">
        <f>Table157[[#This Row],[Period]]+$E$9</f>
        <v>140</v>
      </c>
      <c r="M144" s="32">
        <f>Table157[[#This Row],[Defaulted Principal]]-Table157[[#This Row],[Estimated Loss]]</f>
        <v>0</v>
      </c>
      <c r="N144" s="32">
        <f>IFERROR(VLOOKUP(Table157[[#This Row],[Period]],$L$16:$M$385,2,FALSE),0)</f>
        <v>0</v>
      </c>
      <c r="O144" s="32">
        <f>Table157[[#This Row],[Beginning Balance]]-Table157[[#This Row],[Principal]]-Table157[[#This Row],[Prepayments]]-Table157[[#This Row],[Defaulted Principal]]</f>
        <v>0</v>
      </c>
      <c r="P144" s="32">
        <f>Table157[[#This Row],[Principal]]+Table157[[#This Row],[Interest]]+Table157[[#This Row],[Prepayments]]+Table157[[#This Row],[RecoveredAmount]]</f>
        <v>0</v>
      </c>
      <c r="Q144" s="32">
        <f ca="1">ROUND(Table157[[#This Row],[Cash Flow]]/((1+ActualRateToUse)^(IF(ISNUMBER(SEARCH("Actual",$C$7)),Table157[[#This Row],[Running Total]]/365,Table157[[#This Row],[Period]]/12))),2)</f>
        <v>0</v>
      </c>
      <c r="R144" s="4">
        <f>IF(MONTH(Table157[[#This Row],[Date]])=2,28,DAY(DATE(YEAR(Table157[[#This Row],[Date]]),MONTH(Table157[[#This Row],[Date]])+1,1)-1))</f>
        <v>28</v>
      </c>
      <c r="S144" s="4">
        <f ca="1">SUM(OFFSET(Table157[[#Headers],[Days in month]],1,0):Table157[[#This Row],[Days in month]])</f>
        <v>3893</v>
      </c>
      <c r="T144" s="30">
        <f>InterestRate*AmortizationMultiplier*IF(ISNUMBER(SEARCH("Actual",$C$7)),Table157[[#This Row],[Days in month]]/365,1/12)</f>
        <v>2.6833333333333336E-3</v>
      </c>
    </row>
    <row r="145" spans="2:20" x14ac:dyDescent="0.2">
      <c r="B145" s="41">
        <f t="shared" si="6"/>
        <v>49765</v>
      </c>
      <c r="C145" s="4">
        <f t="shared" si="4"/>
        <v>129</v>
      </c>
      <c r="D145" s="32">
        <f t="shared" si="3"/>
        <v>0</v>
      </c>
      <c r="E145" s="32">
        <f>ROUND(Table157[[#This Row],[Beginning Balance]]*Table157[[#This Row],[Monthly Interest Rate]],2)</f>
        <v>0</v>
      </c>
      <c r="F145" s="32">
        <f t="shared" si="5"/>
        <v>127</v>
      </c>
      <c r="G145" s="45">
        <f>IFERROR(IF($C$13="No","N/A",IF(Table157[[#This Row],[Period]]=1,$C$6,PMT(InterestRate*AmortizationMultiplier/12,Table157[[#This Row],[Am Thru]],-Table157[[#This Row],[Beginning Balance]]))),0)</f>
        <v>0</v>
      </c>
      <c r="H145" s="32">
        <f>MAX(0,IF(C145=$C$4,D145,ROUND(IF($C$3="Fixed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5" s="32">
        <f>ROUND(Table157[[#This Row],[Defaulted Principal]]*IF($C$9="No",$E$4,VLOOKUP(Table157[[#This Row],[Period]],[1]Forecast!$H$2:$L$1048576,3,FALSE)),2)</f>
        <v>0</v>
      </c>
      <c r="L145" s="4">
        <f>Table157[[#This Row],[Period]]+$E$9</f>
        <v>141</v>
      </c>
      <c r="M145" s="32">
        <f>Table157[[#This Row],[Defaulted Principal]]-Table157[[#This Row],[Estimated Loss]]</f>
        <v>0</v>
      </c>
      <c r="N145" s="32">
        <f>IFERROR(VLOOKUP(Table157[[#This Row],[Period]],$L$16:$M$385,2,FALSE),0)</f>
        <v>0</v>
      </c>
      <c r="O145" s="32">
        <f>Table157[[#This Row],[Beginning Balance]]-Table157[[#This Row],[Principal]]-Table157[[#This Row],[Prepayments]]-Table157[[#This Row],[Defaulted Principal]]</f>
        <v>0</v>
      </c>
      <c r="P145" s="32">
        <f>Table157[[#This Row],[Principal]]+Table157[[#This Row],[Interest]]+Table157[[#This Row],[Prepayments]]+Table157[[#This Row],[RecoveredAmount]]</f>
        <v>0</v>
      </c>
      <c r="Q145" s="32">
        <f ca="1">ROUND(Table157[[#This Row],[Cash Flow]]/((1+ActualRateToUse)^(IF(ISNUMBER(SEARCH("Actual",$C$7)),Table157[[#This Row],[Running Total]]/365,Table157[[#This Row],[Period]]/12))),2)</f>
        <v>0</v>
      </c>
      <c r="R145" s="4">
        <f>IF(MONTH(Table157[[#This Row],[Date]])=2,28,DAY(DATE(YEAR(Table157[[#This Row],[Date]]),MONTH(Table157[[#This Row],[Date]])+1,1)-1))</f>
        <v>31</v>
      </c>
      <c r="S145" s="4">
        <f ca="1">SUM(OFFSET(Table157[[#Headers],[Days in month]],1,0):Table157[[#This Row],[Days in month]])</f>
        <v>3924</v>
      </c>
      <c r="T145" s="30">
        <f>InterestRate*AmortizationMultiplier*IF(ISNUMBER(SEARCH("Actual",$C$7)),Table157[[#This Row],[Days in month]]/365,1/12)</f>
        <v>2.9708333333333331E-3</v>
      </c>
    </row>
    <row r="146" spans="2:20" x14ac:dyDescent="0.2">
      <c r="B146" s="41">
        <f t="shared" si="6"/>
        <v>49795</v>
      </c>
      <c r="C146" s="4">
        <f t="shared" si="4"/>
        <v>130</v>
      </c>
      <c r="D146" s="32">
        <f t="shared" ref="D146:D209" si="7">O145</f>
        <v>0</v>
      </c>
      <c r="E146" s="32">
        <f>ROUND(Table157[[#This Row],[Beginning Balance]]*Table157[[#This Row],[Monthly Interest Rate]],2)</f>
        <v>0</v>
      </c>
      <c r="F146" s="32">
        <f t="shared" si="5"/>
        <v>126</v>
      </c>
      <c r="G146" s="45">
        <f>IFERROR(IF($C$13="No","N/A",IF(Table157[[#This Row],[Period]]=1,$C$6,PMT(InterestRate*AmortizationMultiplier/12,Table157[[#This Row],[Am Thru]],-Table157[[#This Row],[Beginning Balance]]))),0)</f>
        <v>0</v>
      </c>
      <c r="H146" s="32">
        <f>MAX(0,IF(C146=$C$4,D146,ROUND(IF($C$3="Fixed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6" s="32">
        <f>ROUND(Table157[[#This Row],[Defaulted Principal]]*IF($C$9="No",$E$4,VLOOKUP(Table157[[#This Row],[Period]],[1]Forecast!$H$2:$L$1048576,3,FALSE)),2)</f>
        <v>0</v>
      </c>
      <c r="L146" s="4">
        <f>Table157[[#This Row],[Period]]+$E$9</f>
        <v>142</v>
      </c>
      <c r="M146" s="32">
        <f>Table157[[#This Row],[Defaulted Principal]]-Table157[[#This Row],[Estimated Loss]]</f>
        <v>0</v>
      </c>
      <c r="N146" s="32">
        <f>IFERROR(VLOOKUP(Table157[[#This Row],[Period]],$L$16:$M$385,2,FALSE),0)</f>
        <v>0</v>
      </c>
      <c r="O146" s="32">
        <f>Table157[[#This Row],[Beginning Balance]]-Table157[[#This Row],[Principal]]-Table157[[#This Row],[Prepayments]]-Table157[[#This Row],[Defaulted Principal]]</f>
        <v>0</v>
      </c>
      <c r="P146" s="32">
        <f>Table157[[#This Row],[Principal]]+Table157[[#This Row],[Interest]]+Table157[[#This Row],[Prepayments]]+Table157[[#This Row],[RecoveredAmount]]</f>
        <v>0</v>
      </c>
      <c r="Q146" s="32">
        <f ca="1">ROUND(Table157[[#This Row],[Cash Flow]]/((1+ActualRateToUse)^(IF(ISNUMBER(SEARCH("Actual",$C$7)),Table157[[#This Row],[Running Total]]/365,Table157[[#This Row],[Period]]/12))),2)</f>
        <v>0</v>
      </c>
      <c r="R146" s="4">
        <f>IF(MONTH(Table157[[#This Row],[Date]])=2,28,DAY(DATE(YEAR(Table157[[#This Row],[Date]]),MONTH(Table157[[#This Row],[Date]])+1,1)-1))</f>
        <v>30</v>
      </c>
      <c r="S146" s="4">
        <f ca="1">SUM(OFFSET(Table157[[#Headers],[Days in month]],1,0):Table157[[#This Row],[Days in month]])</f>
        <v>3954</v>
      </c>
      <c r="T146" s="30">
        <f>InterestRate*AmortizationMultiplier*IF(ISNUMBER(SEARCH("Actual",$C$7)),Table157[[#This Row],[Days in month]]/365,1/12)</f>
        <v>2.8749999999999995E-3</v>
      </c>
    </row>
    <row r="147" spans="2:20" x14ac:dyDescent="0.2">
      <c r="B147" s="41">
        <f t="shared" si="6"/>
        <v>49826</v>
      </c>
      <c r="C147" s="4">
        <f t="shared" ref="C147:C210" si="8">C146+1</f>
        <v>131</v>
      </c>
      <c r="D147" s="32">
        <f t="shared" si="7"/>
        <v>0</v>
      </c>
      <c r="E147" s="32">
        <f>ROUND(Table157[[#This Row],[Beginning Balance]]*Table157[[#This Row],[Monthly Interest Rate]],2)</f>
        <v>0</v>
      </c>
      <c r="F147" s="32">
        <f t="shared" ref="F147:F210" si="9">+F146-1</f>
        <v>125</v>
      </c>
      <c r="G147" s="45">
        <f>IFERROR(IF($C$13="No","N/A",IF(Table157[[#This Row],[Period]]=1,$C$6,PMT(InterestRate*AmortizationMultiplier/12,Table157[[#This Row],[Am Thru]],-Table157[[#This Row],[Beginning Balance]]))),0)</f>
        <v>0</v>
      </c>
      <c r="H147" s="32">
        <f>MAX(0,IF(C147=$C$4,D147,ROUND(IF($C$3="Fixed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7" s="32">
        <f>ROUND(Table157[[#This Row],[Defaulted Principal]]*IF($C$9="No",$E$4,VLOOKUP(Table157[[#This Row],[Period]],[1]Forecast!$H$2:$L$1048576,3,FALSE)),2)</f>
        <v>0</v>
      </c>
      <c r="L147" s="4">
        <f>Table157[[#This Row],[Period]]+$E$9</f>
        <v>143</v>
      </c>
      <c r="M147" s="32">
        <f>Table157[[#This Row],[Defaulted Principal]]-Table157[[#This Row],[Estimated Loss]]</f>
        <v>0</v>
      </c>
      <c r="N147" s="32">
        <f>IFERROR(VLOOKUP(Table157[[#This Row],[Period]],$L$16:$M$385,2,FALSE),0)</f>
        <v>0</v>
      </c>
      <c r="O147" s="32">
        <f>Table157[[#This Row],[Beginning Balance]]-Table157[[#This Row],[Principal]]-Table157[[#This Row],[Prepayments]]-Table157[[#This Row],[Defaulted Principal]]</f>
        <v>0</v>
      </c>
      <c r="P147" s="32">
        <f>Table157[[#This Row],[Principal]]+Table157[[#This Row],[Interest]]+Table157[[#This Row],[Prepayments]]+Table157[[#This Row],[RecoveredAmount]]</f>
        <v>0</v>
      </c>
      <c r="Q147" s="32">
        <f ca="1">ROUND(Table157[[#This Row],[Cash Flow]]/((1+ActualRateToUse)^(IF(ISNUMBER(SEARCH("Actual",$C$7)),Table157[[#This Row],[Running Total]]/365,Table157[[#This Row],[Period]]/12))),2)</f>
        <v>0</v>
      </c>
      <c r="R147" s="4">
        <f>IF(MONTH(Table157[[#This Row],[Date]])=2,28,DAY(DATE(YEAR(Table157[[#This Row],[Date]]),MONTH(Table157[[#This Row],[Date]])+1,1)-1))</f>
        <v>31</v>
      </c>
      <c r="S147" s="4">
        <f ca="1">SUM(OFFSET(Table157[[#Headers],[Days in month]],1,0):Table157[[#This Row],[Days in month]])</f>
        <v>3985</v>
      </c>
      <c r="T147" s="30">
        <f>InterestRate*AmortizationMultiplier*IF(ISNUMBER(SEARCH("Actual",$C$7)),Table157[[#This Row],[Days in month]]/365,1/12)</f>
        <v>2.9708333333333331E-3</v>
      </c>
    </row>
    <row r="148" spans="2:20" x14ac:dyDescent="0.2">
      <c r="B148" s="41">
        <f t="shared" si="6"/>
        <v>49856</v>
      </c>
      <c r="C148" s="4">
        <f t="shared" si="8"/>
        <v>132</v>
      </c>
      <c r="D148" s="32">
        <f t="shared" si="7"/>
        <v>0</v>
      </c>
      <c r="E148" s="32">
        <f>ROUND(Table157[[#This Row],[Beginning Balance]]*Table157[[#This Row],[Monthly Interest Rate]],2)</f>
        <v>0</v>
      </c>
      <c r="F148" s="32">
        <f t="shared" si="9"/>
        <v>124</v>
      </c>
      <c r="G148" s="45">
        <f>IFERROR(IF($C$13="No","N/A",IF(Table157[[#This Row],[Period]]=1,$C$6,PMT(InterestRate*AmortizationMultiplier/12,Table157[[#This Row],[Am Thru]],-Table157[[#This Row],[Beginning Balance]]))),0)</f>
        <v>0</v>
      </c>
      <c r="H148" s="32">
        <f>MAX(0,IF(C148=$C$4,D148,ROUND(IF($C$3="Fixed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8" s="32">
        <f>ROUND(Table157[[#This Row],[Defaulted Principal]]*IF($C$9="No",$E$4,VLOOKUP(Table157[[#This Row],[Period]],[1]Forecast!$H$2:$L$1048576,3,FALSE)),2)</f>
        <v>0</v>
      </c>
      <c r="L148" s="4">
        <f>Table157[[#This Row],[Period]]+$E$9</f>
        <v>144</v>
      </c>
      <c r="M148" s="32">
        <f>Table157[[#This Row],[Defaulted Principal]]-Table157[[#This Row],[Estimated Loss]]</f>
        <v>0</v>
      </c>
      <c r="N148" s="32">
        <f>IFERROR(VLOOKUP(Table157[[#This Row],[Period]],$L$16:$M$385,2,FALSE),0)</f>
        <v>0</v>
      </c>
      <c r="O148" s="32">
        <f>Table157[[#This Row],[Beginning Balance]]-Table157[[#This Row],[Principal]]-Table157[[#This Row],[Prepayments]]-Table157[[#This Row],[Defaulted Principal]]</f>
        <v>0</v>
      </c>
      <c r="P148" s="32">
        <f>Table157[[#This Row],[Principal]]+Table157[[#This Row],[Interest]]+Table157[[#This Row],[Prepayments]]+Table157[[#This Row],[RecoveredAmount]]</f>
        <v>0</v>
      </c>
      <c r="Q148" s="32">
        <f ca="1">ROUND(Table157[[#This Row],[Cash Flow]]/((1+ActualRateToUse)^(IF(ISNUMBER(SEARCH("Actual",$C$7)),Table157[[#This Row],[Running Total]]/365,Table157[[#This Row],[Period]]/12))),2)</f>
        <v>0</v>
      </c>
      <c r="R148" s="4">
        <f>IF(MONTH(Table157[[#This Row],[Date]])=2,28,DAY(DATE(YEAR(Table157[[#This Row],[Date]]),MONTH(Table157[[#This Row],[Date]])+1,1)-1))</f>
        <v>30</v>
      </c>
      <c r="S148" s="4">
        <f ca="1">SUM(OFFSET(Table157[[#Headers],[Days in month]],1,0):Table157[[#This Row],[Days in month]])</f>
        <v>4015</v>
      </c>
      <c r="T148" s="30">
        <f>InterestRate*AmortizationMultiplier*IF(ISNUMBER(SEARCH("Actual",$C$7)),Table157[[#This Row],[Days in month]]/365,1/12)</f>
        <v>2.8749999999999995E-3</v>
      </c>
    </row>
    <row r="149" spans="2:20" x14ac:dyDescent="0.2">
      <c r="B149" s="41">
        <f t="shared" si="6"/>
        <v>49887</v>
      </c>
      <c r="C149" s="4">
        <f t="shared" si="8"/>
        <v>133</v>
      </c>
      <c r="D149" s="32">
        <f t="shared" si="7"/>
        <v>0</v>
      </c>
      <c r="E149" s="32">
        <f>ROUND(Table157[[#This Row],[Beginning Balance]]*Table157[[#This Row],[Monthly Interest Rate]],2)</f>
        <v>0</v>
      </c>
      <c r="F149" s="32">
        <f t="shared" si="9"/>
        <v>123</v>
      </c>
      <c r="G149" s="45">
        <f>IFERROR(IF($C$13="No","N/A",IF(Table157[[#This Row],[Period]]=1,$C$6,PMT(InterestRate*AmortizationMultiplier/12,Table157[[#This Row],[Am Thru]],-Table157[[#This Row],[Beginning Balance]]))),0)</f>
        <v>0</v>
      </c>
      <c r="H149" s="32">
        <f>MAX(0,IF(C149=$C$4,D149,ROUND(IF($C$3="Fixed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4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4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49" s="32">
        <f>ROUND(Table157[[#This Row],[Defaulted Principal]]*IF($C$9="No",$E$4,VLOOKUP(Table157[[#This Row],[Period]],[1]Forecast!$H$2:$L$1048576,3,FALSE)),2)</f>
        <v>0</v>
      </c>
      <c r="L149" s="4">
        <f>Table157[[#This Row],[Period]]+$E$9</f>
        <v>145</v>
      </c>
      <c r="M149" s="32">
        <f>Table157[[#This Row],[Defaulted Principal]]-Table157[[#This Row],[Estimated Loss]]</f>
        <v>0</v>
      </c>
      <c r="N149" s="32">
        <f>IFERROR(VLOOKUP(Table157[[#This Row],[Period]],$L$16:$M$385,2,FALSE),0)</f>
        <v>0</v>
      </c>
      <c r="O149" s="32">
        <f>Table157[[#This Row],[Beginning Balance]]-Table157[[#This Row],[Principal]]-Table157[[#This Row],[Prepayments]]-Table157[[#This Row],[Defaulted Principal]]</f>
        <v>0</v>
      </c>
      <c r="P149" s="32">
        <f>Table157[[#This Row],[Principal]]+Table157[[#This Row],[Interest]]+Table157[[#This Row],[Prepayments]]+Table157[[#This Row],[RecoveredAmount]]</f>
        <v>0</v>
      </c>
      <c r="Q149" s="32">
        <f ca="1">ROUND(Table157[[#This Row],[Cash Flow]]/((1+ActualRateToUse)^(IF(ISNUMBER(SEARCH("Actual",$C$7)),Table157[[#This Row],[Running Total]]/365,Table157[[#This Row],[Period]]/12))),2)</f>
        <v>0</v>
      </c>
      <c r="R149" s="4">
        <f>IF(MONTH(Table157[[#This Row],[Date]])=2,28,DAY(DATE(YEAR(Table157[[#This Row],[Date]]),MONTH(Table157[[#This Row],[Date]])+1,1)-1))</f>
        <v>31</v>
      </c>
      <c r="S149" s="4">
        <f ca="1">SUM(OFFSET(Table157[[#Headers],[Days in month]],1,0):Table157[[#This Row],[Days in month]])</f>
        <v>4046</v>
      </c>
      <c r="T149" s="30">
        <f>InterestRate*AmortizationMultiplier*IF(ISNUMBER(SEARCH("Actual",$C$7)),Table157[[#This Row],[Days in month]]/365,1/12)</f>
        <v>2.9708333333333331E-3</v>
      </c>
    </row>
    <row r="150" spans="2:20" x14ac:dyDescent="0.2">
      <c r="B150" s="41">
        <f t="shared" si="6"/>
        <v>49918</v>
      </c>
      <c r="C150" s="4">
        <f t="shared" si="8"/>
        <v>134</v>
      </c>
      <c r="D150" s="32">
        <f t="shared" si="7"/>
        <v>0</v>
      </c>
      <c r="E150" s="32">
        <f>ROUND(Table157[[#This Row],[Beginning Balance]]*Table157[[#This Row],[Monthly Interest Rate]],2)</f>
        <v>0</v>
      </c>
      <c r="F150" s="32">
        <f t="shared" si="9"/>
        <v>122</v>
      </c>
      <c r="G150" s="45">
        <f>IFERROR(IF($C$13="No","N/A",IF(Table157[[#This Row],[Period]]=1,$C$6,PMT(InterestRate*AmortizationMultiplier/12,Table157[[#This Row],[Am Thru]],-Table157[[#This Row],[Beginning Balance]]))),0)</f>
        <v>0</v>
      </c>
      <c r="H150" s="32">
        <f>MAX(0,IF(C150=$C$4,D150,ROUND(IF($C$3="Fixed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0" s="32">
        <f>ROUND(Table157[[#This Row],[Defaulted Principal]]*IF($C$9="No",$E$4,VLOOKUP(Table157[[#This Row],[Period]],[1]Forecast!$H$2:$L$1048576,3,FALSE)),2)</f>
        <v>0</v>
      </c>
      <c r="L150" s="4">
        <f>Table157[[#This Row],[Period]]+$E$9</f>
        <v>146</v>
      </c>
      <c r="M150" s="32">
        <f>Table157[[#This Row],[Defaulted Principal]]-Table157[[#This Row],[Estimated Loss]]</f>
        <v>0</v>
      </c>
      <c r="N150" s="32">
        <f>IFERROR(VLOOKUP(Table157[[#This Row],[Period]],$L$16:$M$385,2,FALSE),0)</f>
        <v>0</v>
      </c>
      <c r="O150" s="32">
        <f>Table157[[#This Row],[Beginning Balance]]-Table157[[#This Row],[Principal]]-Table157[[#This Row],[Prepayments]]-Table157[[#This Row],[Defaulted Principal]]</f>
        <v>0</v>
      </c>
      <c r="P150" s="32">
        <f>Table157[[#This Row],[Principal]]+Table157[[#This Row],[Interest]]+Table157[[#This Row],[Prepayments]]+Table157[[#This Row],[RecoveredAmount]]</f>
        <v>0</v>
      </c>
      <c r="Q150" s="32">
        <f ca="1">ROUND(Table157[[#This Row],[Cash Flow]]/((1+ActualRateToUse)^(IF(ISNUMBER(SEARCH("Actual",$C$7)),Table157[[#This Row],[Running Total]]/365,Table157[[#This Row],[Period]]/12))),2)</f>
        <v>0</v>
      </c>
      <c r="R150" s="4">
        <f>IF(MONTH(Table157[[#This Row],[Date]])=2,28,DAY(DATE(YEAR(Table157[[#This Row],[Date]]),MONTH(Table157[[#This Row],[Date]])+1,1)-1))</f>
        <v>31</v>
      </c>
      <c r="S150" s="4">
        <f ca="1">SUM(OFFSET(Table157[[#Headers],[Days in month]],1,0):Table157[[#This Row],[Days in month]])</f>
        <v>4077</v>
      </c>
      <c r="T150" s="30">
        <f>InterestRate*AmortizationMultiplier*IF(ISNUMBER(SEARCH("Actual",$C$7)),Table157[[#This Row],[Days in month]]/365,1/12)</f>
        <v>2.9708333333333331E-3</v>
      </c>
    </row>
    <row r="151" spans="2:20" x14ac:dyDescent="0.2">
      <c r="B151" s="41">
        <f t="shared" si="6"/>
        <v>49948</v>
      </c>
      <c r="C151" s="4">
        <f t="shared" si="8"/>
        <v>135</v>
      </c>
      <c r="D151" s="32">
        <f t="shared" si="7"/>
        <v>0</v>
      </c>
      <c r="E151" s="32">
        <f>ROUND(Table157[[#This Row],[Beginning Balance]]*Table157[[#This Row],[Monthly Interest Rate]],2)</f>
        <v>0</v>
      </c>
      <c r="F151" s="32">
        <f t="shared" si="9"/>
        <v>121</v>
      </c>
      <c r="G151" s="45">
        <f>IFERROR(IF($C$13="No","N/A",IF(Table157[[#This Row],[Period]]=1,$C$6,PMT(InterestRate*AmortizationMultiplier/12,Table157[[#This Row],[Am Thru]],-Table157[[#This Row],[Beginning Balance]]))),0)</f>
        <v>0</v>
      </c>
      <c r="H151" s="32">
        <f>MAX(0,IF(C151=$C$4,D151,ROUND(IF($C$3="Fixed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1" s="32">
        <f>ROUND(Table157[[#This Row],[Defaulted Principal]]*IF($C$9="No",$E$4,VLOOKUP(Table157[[#This Row],[Period]],[1]Forecast!$H$2:$L$1048576,3,FALSE)),2)</f>
        <v>0</v>
      </c>
      <c r="L151" s="4">
        <f>Table157[[#This Row],[Period]]+$E$9</f>
        <v>147</v>
      </c>
      <c r="M151" s="32">
        <f>Table157[[#This Row],[Defaulted Principal]]-Table157[[#This Row],[Estimated Loss]]</f>
        <v>0</v>
      </c>
      <c r="N151" s="32">
        <f>IFERROR(VLOOKUP(Table157[[#This Row],[Period]],$L$16:$M$385,2,FALSE),0)</f>
        <v>0</v>
      </c>
      <c r="O151" s="32">
        <f>Table157[[#This Row],[Beginning Balance]]-Table157[[#This Row],[Principal]]-Table157[[#This Row],[Prepayments]]-Table157[[#This Row],[Defaulted Principal]]</f>
        <v>0</v>
      </c>
      <c r="P151" s="32">
        <f>Table157[[#This Row],[Principal]]+Table157[[#This Row],[Interest]]+Table157[[#This Row],[Prepayments]]+Table157[[#This Row],[RecoveredAmount]]</f>
        <v>0</v>
      </c>
      <c r="Q151" s="32">
        <f ca="1">ROUND(Table157[[#This Row],[Cash Flow]]/((1+ActualRateToUse)^(IF(ISNUMBER(SEARCH("Actual",$C$7)),Table157[[#This Row],[Running Total]]/365,Table157[[#This Row],[Period]]/12))),2)</f>
        <v>0</v>
      </c>
      <c r="R151" s="4">
        <f>IF(MONTH(Table157[[#This Row],[Date]])=2,28,DAY(DATE(YEAR(Table157[[#This Row],[Date]]),MONTH(Table157[[#This Row],[Date]])+1,1)-1))</f>
        <v>30</v>
      </c>
      <c r="S151" s="4">
        <f ca="1">SUM(OFFSET(Table157[[#Headers],[Days in month]],1,0):Table157[[#This Row],[Days in month]])</f>
        <v>4107</v>
      </c>
      <c r="T151" s="30">
        <f>InterestRate*AmortizationMultiplier*IF(ISNUMBER(SEARCH("Actual",$C$7)),Table157[[#This Row],[Days in month]]/365,1/12)</f>
        <v>2.8749999999999995E-3</v>
      </c>
    </row>
    <row r="152" spans="2:20" x14ac:dyDescent="0.2">
      <c r="B152" s="41">
        <f t="shared" si="6"/>
        <v>49979</v>
      </c>
      <c r="C152" s="4">
        <f t="shared" si="8"/>
        <v>136</v>
      </c>
      <c r="D152" s="32">
        <f t="shared" si="7"/>
        <v>0</v>
      </c>
      <c r="E152" s="32">
        <f>ROUND(Table157[[#This Row],[Beginning Balance]]*Table157[[#This Row],[Monthly Interest Rate]],2)</f>
        <v>0</v>
      </c>
      <c r="F152" s="32">
        <f t="shared" si="9"/>
        <v>120</v>
      </c>
      <c r="G152" s="45">
        <f>IFERROR(IF($C$13="No","N/A",IF(Table157[[#This Row],[Period]]=1,$C$6,PMT(InterestRate*AmortizationMultiplier/12,Table157[[#This Row],[Am Thru]],-Table157[[#This Row],[Beginning Balance]]))),0)</f>
        <v>0</v>
      </c>
      <c r="H152" s="32">
        <f>MAX(0,IF(C152=$C$4,D152,ROUND(IF($C$3="Fixed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2" s="32">
        <f>ROUND(Table157[[#This Row],[Defaulted Principal]]*IF($C$9="No",$E$4,VLOOKUP(Table157[[#This Row],[Period]],[1]Forecast!$H$2:$L$1048576,3,FALSE)),2)</f>
        <v>0</v>
      </c>
      <c r="L152" s="4">
        <f>Table157[[#This Row],[Period]]+$E$9</f>
        <v>148</v>
      </c>
      <c r="M152" s="32">
        <f>Table157[[#This Row],[Defaulted Principal]]-Table157[[#This Row],[Estimated Loss]]</f>
        <v>0</v>
      </c>
      <c r="N152" s="32">
        <f>IFERROR(VLOOKUP(Table157[[#This Row],[Period]],$L$16:$M$385,2,FALSE),0)</f>
        <v>0</v>
      </c>
      <c r="O152" s="32">
        <f>Table157[[#This Row],[Beginning Balance]]-Table157[[#This Row],[Principal]]-Table157[[#This Row],[Prepayments]]-Table157[[#This Row],[Defaulted Principal]]</f>
        <v>0</v>
      </c>
      <c r="P152" s="32">
        <f>Table157[[#This Row],[Principal]]+Table157[[#This Row],[Interest]]+Table157[[#This Row],[Prepayments]]+Table157[[#This Row],[RecoveredAmount]]</f>
        <v>0</v>
      </c>
      <c r="Q152" s="32">
        <f ca="1">ROUND(Table157[[#This Row],[Cash Flow]]/((1+ActualRateToUse)^(IF(ISNUMBER(SEARCH("Actual",$C$7)),Table157[[#This Row],[Running Total]]/365,Table157[[#This Row],[Period]]/12))),2)</f>
        <v>0</v>
      </c>
      <c r="R152" s="4">
        <f>IF(MONTH(Table157[[#This Row],[Date]])=2,28,DAY(DATE(YEAR(Table157[[#This Row],[Date]]),MONTH(Table157[[#This Row],[Date]])+1,1)-1))</f>
        <v>31</v>
      </c>
      <c r="S152" s="4">
        <f ca="1">SUM(OFFSET(Table157[[#Headers],[Days in month]],1,0):Table157[[#This Row],[Days in month]])</f>
        <v>4138</v>
      </c>
      <c r="T152" s="30">
        <f>InterestRate*AmortizationMultiplier*IF(ISNUMBER(SEARCH("Actual",$C$7)),Table157[[#This Row],[Days in month]]/365,1/12)</f>
        <v>2.9708333333333331E-3</v>
      </c>
    </row>
    <row r="153" spans="2:20" x14ac:dyDescent="0.2">
      <c r="B153" s="41">
        <f t="shared" si="6"/>
        <v>50009</v>
      </c>
      <c r="C153" s="4">
        <f t="shared" si="8"/>
        <v>137</v>
      </c>
      <c r="D153" s="32">
        <f t="shared" si="7"/>
        <v>0</v>
      </c>
      <c r="E153" s="32">
        <f>ROUND(Table157[[#This Row],[Beginning Balance]]*Table157[[#This Row],[Monthly Interest Rate]],2)</f>
        <v>0</v>
      </c>
      <c r="F153" s="32">
        <f t="shared" si="9"/>
        <v>119</v>
      </c>
      <c r="G153" s="45">
        <f>IFERROR(IF($C$13="No","N/A",IF(Table157[[#This Row],[Period]]=1,$C$6,PMT(InterestRate*AmortizationMultiplier/12,Table157[[#This Row],[Am Thru]],-Table157[[#This Row],[Beginning Balance]]))),0)</f>
        <v>0</v>
      </c>
      <c r="H153" s="32">
        <f>MAX(0,IF(C153=$C$4,D153,ROUND(IF($C$3="Fixed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3" s="32">
        <f>ROUND(Table157[[#This Row],[Defaulted Principal]]*IF($C$9="No",$E$4,VLOOKUP(Table157[[#This Row],[Period]],[1]Forecast!$H$2:$L$1048576,3,FALSE)),2)</f>
        <v>0</v>
      </c>
      <c r="L153" s="4">
        <f>Table157[[#This Row],[Period]]+$E$9</f>
        <v>149</v>
      </c>
      <c r="M153" s="32">
        <f>Table157[[#This Row],[Defaulted Principal]]-Table157[[#This Row],[Estimated Loss]]</f>
        <v>0</v>
      </c>
      <c r="N153" s="32">
        <f>IFERROR(VLOOKUP(Table157[[#This Row],[Period]],$L$16:$M$385,2,FALSE),0)</f>
        <v>0</v>
      </c>
      <c r="O153" s="32">
        <f>Table157[[#This Row],[Beginning Balance]]-Table157[[#This Row],[Principal]]-Table157[[#This Row],[Prepayments]]-Table157[[#This Row],[Defaulted Principal]]</f>
        <v>0</v>
      </c>
      <c r="P153" s="32">
        <f>Table157[[#This Row],[Principal]]+Table157[[#This Row],[Interest]]+Table157[[#This Row],[Prepayments]]+Table157[[#This Row],[RecoveredAmount]]</f>
        <v>0</v>
      </c>
      <c r="Q153" s="32">
        <f ca="1">ROUND(Table157[[#This Row],[Cash Flow]]/((1+ActualRateToUse)^(IF(ISNUMBER(SEARCH("Actual",$C$7)),Table157[[#This Row],[Running Total]]/365,Table157[[#This Row],[Period]]/12))),2)</f>
        <v>0</v>
      </c>
      <c r="R153" s="4">
        <f>IF(MONTH(Table157[[#This Row],[Date]])=2,28,DAY(DATE(YEAR(Table157[[#This Row],[Date]]),MONTH(Table157[[#This Row],[Date]])+1,1)-1))</f>
        <v>30</v>
      </c>
      <c r="S153" s="4">
        <f ca="1">SUM(OFFSET(Table157[[#Headers],[Days in month]],1,0):Table157[[#This Row],[Days in month]])</f>
        <v>4168</v>
      </c>
      <c r="T153" s="30">
        <f>InterestRate*AmortizationMultiplier*IF(ISNUMBER(SEARCH("Actual",$C$7)),Table157[[#This Row],[Days in month]]/365,1/12)</f>
        <v>2.8749999999999995E-3</v>
      </c>
    </row>
    <row r="154" spans="2:20" x14ac:dyDescent="0.2">
      <c r="B154" s="41">
        <f t="shared" si="6"/>
        <v>50040</v>
      </c>
      <c r="C154" s="4">
        <f t="shared" si="8"/>
        <v>138</v>
      </c>
      <c r="D154" s="32">
        <f t="shared" si="7"/>
        <v>0</v>
      </c>
      <c r="E154" s="32">
        <f>ROUND(Table157[[#This Row],[Beginning Balance]]*Table157[[#This Row],[Monthly Interest Rate]],2)</f>
        <v>0</v>
      </c>
      <c r="F154" s="32">
        <f t="shared" si="9"/>
        <v>118</v>
      </c>
      <c r="G154" s="45">
        <f>IFERROR(IF($C$13="No","N/A",IF(Table157[[#This Row],[Period]]=1,$C$6,PMT(InterestRate*AmortizationMultiplier/12,Table157[[#This Row],[Am Thru]],-Table157[[#This Row],[Beginning Balance]]))),0)</f>
        <v>0</v>
      </c>
      <c r="H154" s="32">
        <f>MAX(0,IF(C154=$C$4,D154,ROUND(IF($C$3="Fixed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4" s="32">
        <f>ROUND(Table157[[#This Row],[Defaulted Principal]]*IF($C$9="No",$E$4,VLOOKUP(Table157[[#This Row],[Period]],[1]Forecast!$H$2:$L$1048576,3,FALSE)),2)</f>
        <v>0</v>
      </c>
      <c r="L154" s="4">
        <f>Table157[[#This Row],[Period]]+$E$9</f>
        <v>150</v>
      </c>
      <c r="M154" s="32">
        <f>Table157[[#This Row],[Defaulted Principal]]-Table157[[#This Row],[Estimated Loss]]</f>
        <v>0</v>
      </c>
      <c r="N154" s="32">
        <f>IFERROR(VLOOKUP(Table157[[#This Row],[Period]],$L$16:$M$385,2,FALSE),0)</f>
        <v>0</v>
      </c>
      <c r="O154" s="32">
        <f>Table157[[#This Row],[Beginning Balance]]-Table157[[#This Row],[Principal]]-Table157[[#This Row],[Prepayments]]-Table157[[#This Row],[Defaulted Principal]]</f>
        <v>0</v>
      </c>
      <c r="P154" s="32">
        <f>Table157[[#This Row],[Principal]]+Table157[[#This Row],[Interest]]+Table157[[#This Row],[Prepayments]]+Table157[[#This Row],[RecoveredAmount]]</f>
        <v>0</v>
      </c>
      <c r="Q154" s="32">
        <f ca="1">ROUND(Table157[[#This Row],[Cash Flow]]/((1+ActualRateToUse)^(IF(ISNUMBER(SEARCH("Actual",$C$7)),Table157[[#This Row],[Running Total]]/365,Table157[[#This Row],[Period]]/12))),2)</f>
        <v>0</v>
      </c>
      <c r="R154" s="4">
        <f>IF(MONTH(Table157[[#This Row],[Date]])=2,28,DAY(DATE(YEAR(Table157[[#This Row],[Date]]),MONTH(Table157[[#This Row],[Date]])+1,1)-1))</f>
        <v>31</v>
      </c>
      <c r="S154" s="4">
        <f ca="1">SUM(OFFSET(Table157[[#Headers],[Days in month]],1,0):Table157[[#This Row],[Days in month]])</f>
        <v>4199</v>
      </c>
      <c r="T154" s="30">
        <f>InterestRate*AmortizationMultiplier*IF(ISNUMBER(SEARCH("Actual",$C$7)),Table157[[#This Row],[Days in month]]/365,1/12)</f>
        <v>2.9708333333333331E-3</v>
      </c>
    </row>
    <row r="155" spans="2:20" x14ac:dyDescent="0.2">
      <c r="B155" s="41">
        <f t="shared" si="6"/>
        <v>50071</v>
      </c>
      <c r="C155" s="4">
        <f t="shared" si="8"/>
        <v>139</v>
      </c>
      <c r="D155" s="32">
        <f t="shared" si="7"/>
        <v>0</v>
      </c>
      <c r="E155" s="32">
        <f>ROUND(Table157[[#This Row],[Beginning Balance]]*Table157[[#This Row],[Monthly Interest Rate]],2)</f>
        <v>0</v>
      </c>
      <c r="F155" s="32">
        <f t="shared" si="9"/>
        <v>117</v>
      </c>
      <c r="G155" s="45">
        <f>IFERROR(IF($C$13="No","N/A",IF(Table157[[#This Row],[Period]]=1,$C$6,PMT(InterestRate*AmortizationMultiplier/12,Table157[[#This Row],[Am Thru]],-Table157[[#This Row],[Beginning Balance]]))),0)</f>
        <v>0</v>
      </c>
      <c r="H155" s="32">
        <f>MAX(0,IF(C155=$C$4,D155,ROUND(IF($C$3="Fixed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5" s="32">
        <f>ROUND(Table157[[#This Row],[Defaulted Principal]]*IF($C$9="No",$E$4,VLOOKUP(Table157[[#This Row],[Period]],[1]Forecast!$H$2:$L$1048576,3,FALSE)),2)</f>
        <v>0</v>
      </c>
      <c r="L155" s="4">
        <f>Table157[[#This Row],[Period]]+$E$9</f>
        <v>151</v>
      </c>
      <c r="M155" s="32">
        <f>Table157[[#This Row],[Defaulted Principal]]-Table157[[#This Row],[Estimated Loss]]</f>
        <v>0</v>
      </c>
      <c r="N155" s="32">
        <f>IFERROR(VLOOKUP(Table157[[#This Row],[Period]],$L$16:$M$385,2,FALSE),0)</f>
        <v>0</v>
      </c>
      <c r="O155" s="32">
        <f>Table157[[#This Row],[Beginning Balance]]-Table157[[#This Row],[Principal]]-Table157[[#This Row],[Prepayments]]-Table157[[#This Row],[Defaulted Principal]]</f>
        <v>0</v>
      </c>
      <c r="P155" s="32">
        <f>Table157[[#This Row],[Principal]]+Table157[[#This Row],[Interest]]+Table157[[#This Row],[Prepayments]]+Table157[[#This Row],[RecoveredAmount]]</f>
        <v>0</v>
      </c>
      <c r="Q155" s="32">
        <f ca="1">ROUND(Table157[[#This Row],[Cash Flow]]/((1+ActualRateToUse)^(IF(ISNUMBER(SEARCH("Actual",$C$7)),Table157[[#This Row],[Running Total]]/365,Table157[[#This Row],[Period]]/12))),2)</f>
        <v>0</v>
      </c>
      <c r="R155" s="4">
        <f>IF(MONTH(Table157[[#This Row],[Date]])=2,28,DAY(DATE(YEAR(Table157[[#This Row],[Date]]),MONTH(Table157[[#This Row],[Date]])+1,1)-1))</f>
        <v>31</v>
      </c>
      <c r="S155" s="4">
        <f ca="1">SUM(OFFSET(Table157[[#Headers],[Days in month]],1,0):Table157[[#This Row],[Days in month]])</f>
        <v>4230</v>
      </c>
      <c r="T155" s="30">
        <f>InterestRate*AmortizationMultiplier*IF(ISNUMBER(SEARCH("Actual",$C$7)),Table157[[#This Row],[Days in month]]/365,1/12)</f>
        <v>2.9708333333333331E-3</v>
      </c>
    </row>
    <row r="156" spans="2:20" x14ac:dyDescent="0.2">
      <c r="B156" s="41">
        <f t="shared" si="6"/>
        <v>50099</v>
      </c>
      <c r="C156" s="4">
        <f t="shared" si="8"/>
        <v>140</v>
      </c>
      <c r="D156" s="32">
        <f t="shared" si="7"/>
        <v>0</v>
      </c>
      <c r="E156" s="32">
        <f>ROUND(Table157[[#This Row],[Beginning Balance]]*Table157[[#This Row],[Monthly Interest Rate]],2)</f>
        <v>0</v>
      </c>
      <c r="F156" s="32">
        <f t="shared" si="9"/>
        <v>116</v>
      </c>
      <c r="G156" s="45">
        <f>IFERROR(IF($C$13="No","N/A",IF(Table157[[#This Row],[Period]]=1,$C$6,PMT(InterestRate*AmortizationMultiplier/12,Table157[[#This Row],[Am Thru]],-Table157[[#This Row],[Beginning Balance]]))),0)</f>
        <v>0</v>
      </c>
      <c r="H156" s="32">
        <f>MAX(0,IF(C156=$C$4,D156,ROUND(IF($C$3="Fixed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6" s="32">
        <f>ROUND(Table157[[#This Row],[Defaulted Principal]]*IF($C$9="No",$E$4,VLOOKUP(Table157[[#This Row],[Period]],[1]Forecast!$H$2:$L$1048576,3,FALSE)),2)</f>
        <v>0</v>
      </c>
      <c r="L156" s="4">
        <f>Table157[[#This Row],[Period]]+$E$9</f>
        <v>152</v>
      </c>
      <c r="M156" s="32">
        <f>Table157[[#This Row],[Defaulted Principal]]-Table157[[#This Row],[Estimated Loss]]</f>
        <v>0</v>
      </c>
      <c r="N156" s="32">
        <f>IFERROR(VLOOKUP(Table157[[#This Row],[Period]],$L$16:$M$385,2,FALSE),0)</f>
        <v>0</v>
      </c>
      <c r="O156" s="32">
        <f>Table157[[#This Row],[Beginning Balance]]-Table157[[#This Row],[Principal]]-Table157[[#This Row],[Prepayments]]-Table157[[#This Row],[Defaulted Principal]]</f>
        <v>0</v>
      </c>
      <c r="P156" s="32">
        <f>Table157[[#This Row],[Principal]]+Table157[[#This Row],[Interest]]+Table157[[#This Row],[Prepayments]]+Table157[[#This Row],[RecoveredAmount]]</f>
        <v>0</v>
      </c>
      <c r="Q156" s="32">
        <f ca="1">ROUND(Table157[[#This Row],[Cash Flow]]/((1+ActualRateToUse)^(IF(ISNUMBER(SEARCH("Actual",$C$7)),Table157[[#This Row],[Running Total]]/365,Table157[[#This Row],[Period]]/12))),2)</f>
        <v>0</v>
      </c>
      <c r="R156" s="4">
        <f>IF(MONTH(Table157[[#This Row],[Date]])=2,28,DAY(DATE(YEAR(Table157[[#This Row],[Date]]),MONTH(Table157[[#This Row],[Date]])+1,1)-1))</f>
        <v>28</v>
      </c>
      <c r="S156" s="4">
        <f ca="1">SUM(OFFSET(Table157[[#Headers],[Days in month]],1,0):Table157[[#This Row],[Days in month]])</f>
        <v>4258</v>
      </c>
      <c r="T156" s="30">
        <f>InterestRate*AmortizationMultiplier*IF(ISNUMBER(SEARCH("Actual",$C$7)),Table157[[#This Row],[Days in month]]/365,1/12)</f>
        <v>2.6833333333333336E-3</v>
      </c>
    </row>
    <row r="157" spans="2:20" x14ac:dyDescent="0.2">
      <c r="B157" s="41">
        <f t="shared" si="6"/>
        <v>50130</v>
      </c>
      <c r="C157" s="4">
        <f t="shared" si="8"/>
        <v>141</v>
      </c>
      <c r="D157" s="32">
        <f t="shared" si="7"/>
        <v>0</v>
      </c>
      <c r="E157" s="32">
        <f>ROUND(Table157[[#This Row],[Beginning Balance]]*Table157[[#This Row],[Monthly Interest Rate]],2)</f>
        <v>0</v>
      </c>
      <c r="F157" s="32">
        <f t="shared" si="9"/>
        <v>115</v>
      </c>
      <c r="G157" s="45">
        <f>IFERROR(IF($C$13="No","N/A",IF(Table157[[#This Row],[Period]]=1,$C$6,PMT(InterestRate*AmortizationMultiplier/12,Table157[[#This Row],[Am Thru]],-Table157[[#This Row],[Beginning Balance]]))),0)</f>
        <v>0</v>
      </c>
      <c r="H157" s="32">
        <f>MAX(0,IF(C157=$C$4,D157,ROUND(IF($C$3="Fixed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7" s="32">
        <f>ROUND(Table157[[#This Row],[Defaulted Principal]]*IF($C$9="No",$E$4,VLOOKUP(Table157[[#This Row],[Period]],[1]Forecast!$H$2:$L$1048576,3,FALSE)),2)</f>
        <v>0</v>
      </c>
      <c r="L157" s="4">
        <f>Table157[[#This Row],[Period]]+$E$9</f>
        <v>153</v>
      </c>
      <c r="M157" s="32">
        <f>Table157[[#This Row],[Defaulted Principal]]-Table157[[#This Row],[Estimated Loss]]</f>
        <v>0</v>
      </c>
      <c r="N157" s="32">
        <f>IFERROR(VLOOKUP(Table157[[#This Row],[Period]],$L$16:$M$385,2,FALSE),0)</f>
        <v>0</v>
      </c>
      <c r="O157" s="32">
        <f>Table157[[#This Row],[Beginning Balance]]-Table157[[#This Row],[Principal]]-Table157[[#This Row],[Prepayments]]-Table157[[#This Row],[Defaulted Principal]]</f>
        <v>0</v>
      </c>
      <c r="P157" s="32">
        <f>Table157[[#This Row],[Principal]]+Table157[[#This Row],[Interest]]+Table157[[#This Row],[Prepayments]]+Table157[[#This Row],[RecoveredAmount]]</f>
        <v>0</v>
      </c>
      <c r="Q157" s="32">
        <f ca="1">ROUND(Table157[[#This Row],[Cash Flow]]/((1+ActualRateToUse)^(IF(ISNUMBER(SEARCH("Actual",$C$7)),Table157[[#This Row],[Running Total]]/365,Table157[[#This Row],[Period]]/12))),2)</f>
        <v>0</v>
      </c>
      <c r="R157" s="4">
        <f>IF(MONTH(Table157[[#This Row],[Date]])=2,28,DAY(DATE(YEAR(Table157[[#This Row],[Date]]),MONTH(Table157[[#This Row],[Date]])+1,1)-1))</f>
        <v>31</v>
      </c>
      <c r="S157" s="4">
        <f ca="1">SUM(OFFSET(Table157[[#Headers],[Days in month]],1,0):Table157[[#This Row],[Days in month]])</f>
        <v>4289</v>
      </c>
      <c r="T157" s="30">
        <f>InterestRate*AmortizationMultiplier*IF(ISNUMBER(SEARCH("Actual",$C$7)),Table157[[#This Row],[Days in month]]/365,1/12)</f>
        <v>2.9708333333333331E-3</v>
      </c>
    </row>
    <row r="158" spans="2:20" x14ac:dyDescent="0.2">
      <c r="B158" s="41">
        <f t="shared" si="6"/>
        <v>50160</v>
      </c>
      <c r="C158" s="4">
        <f t="shared" si="8"/>
        <v>142</v>
      </c>
      <c r="D158" s="32">
        <f t="shared" si="7"/>
        <v>0</v>
      </c>
      <c r="E158" s="32">
        <f>ROUND(Table157[[#This Row],[Beginning Balance]]*Table157[[#This Row],[Monthly Interest Rate]],2)</f>
        <v>0</v>
      </c>
      <c r="F158" s="32">
        <f t="shared" si="9"/>
        <v>114</v>
      </c>
      <c r="G158" s="45">
        <f>IFERROR(IF($C$13="No","N/A",IF(Table157[[#This Row],[Period]]=1,$C$6,PMT(InterestRate*AmortizationMultiplier/12,Table157[[#This Row],[Am Thru]],-Table157[[#This Row],[Beginning Balance]]))),0)</f>
        <v>0</v>
      </c>
      <c r="H158" s="32">
        <f>MAX(0,IF(C158=$C$4,D158,ROUND(IF($C$3="Fixed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8" s="32">
        <f>ROUND(Table157[[#This Row],[Defaulted Principal]]*IF($C$9="No",$E$4,VLOOKUP(Table157[[#This Row],[Period]],[1]Forecast!$H$2:$L$1048576,3,FALSE)),2)</f>
        <v>0</v>
      </c>
      <c r="L158" s="4">
        <f>Table157[[#This Row],[Period]]+$E$9</f>
        <v>154</v>
      </c>
      <c r="M158" s="32">
        <f>Table157[[#This Row],[Defaulted Principal]]-Table157[[#This Row],[Estimated Loss]]</f>
        <v>0</v>
      </c>
      <c r="N158" s="32">
        <f>IFERROR(VLOOKUP(Table157[[#This Row],[Period]],$L$16:$M$385,2,FALSE),0)</f>
        <v>0</v>
      </c>
      <c r="O158" s="32">
        <f>Table157[[#This Row],[Beginning Balance]]-Table157[[#This Row],[Principal]]-Table157[[#This Row],[Prepayments]]-Table157[[#This Row],[Defaulted Principal]]</f>
        <v>0</v>
      </c>
      <c r="P158" s="32">
        <f>Table157[[#This Row],[Principal]]+Table157[[#This Row],[Interest]]+Table157[[#This Row],[Prepayments]]+Table157[[#This Row],[RecoveredAmount]]</f>
        <v>0</v>
      </c>
      <c r="Q158" s="32">
        <f ca="1">ROUND(Table157[[#This Row],[Cash Flow]]/((1+ActualRateToUse)^(IF(ISNUMBER(SEARCH("Actual",$C$7)),Table157[[#This Row],[Running Total]]/365,Table157[[#This Row],[Period]]/12))),2)</f>
        <v>0</v>
      </c>
      <c r="R158" s="4">
        <f>IF(MONTH(Table157[[#This Row],[Date]])=2,28,DAY(DATE(YEAR(Table157[[#This Row],[Date]]),MONTH(Table157[[#This Row],[Date]])+1,1)-1))</f>
        <v>30</v>
      </c>
      <c r="S158" s="4">
        <f ca="1">SUM(OFFSET(Table157[[#Headers],[Days in month]],1,0):Table157[[#This Row],[Days in month]])</f>
        <v>4319</v>
      </c>
      <c r="T158" s="30">
        <f>InterestRate*AmortizationMultiplier*IF(ISNUMBER(SEARCH("Actual",$C$7)),Table157[[#This Row],[Days in month]]/365,1/12)</f>
        <v>2.8749999999999995E-3</v>
      </c>
    </row>
    <row r="159" spans="2:20" x14ac:dyDescent="0.2">
      <c r="B159" s="41">
        <f t="shared" si="6"/>
        <v>50191</v>
      </c>
      <c r="C159" s="4">
        <f t="shared" si="8"/>
        <v>143</v>
      </c>
      <c r="D159" s="32">
        <f t="shared" si="7"/>
        <v>0</v>
      </c>
      <c r="E159" s="32">
        <f>ROUND(Table157[[#This Row],[Beginning Balance]]*Table157[[#This Row],[Monthly Interest Rate]],2)</f>
        <v>0</v>
      </c>
      <c r="F159" s="32">
        <f t="shared" si="9"/>
        <v>113</v>
      </c>
      <c r="G159" s="45">
        <f>IFERROR(IF($C$13="No","N/A",IF(Table157[[#This Row],[Period]]=1,$C$6,PMT(InterestRate*AmortizationMultiplier/12,Table157[[#This Row],[Am Thru]],-Table157[[#This Row],[Beginning Balance]]))),0)</f>
        <v>0</v>
      </c>
      <c r="H159" s="32">
        <f>MAX(0,IF(C159=$C$4,D159,ROUND(IF($C$3="Fixed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5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5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59" s="32">
        <f>ROUND(Table157[[#This Row],[Defaulted Principal]]*IF($C$9="No",$E$4,VLOOKUP(Table157[[#This Row],[Period]],[1]Forecast!$H$2:$L$1048576,3,FALSE)),2)</f>
        <v>0</v>
      </c>
      <c r="L159" s="4">
        <f>Table157[[#This Row],[Period]]+$E$9</f>
        <v>155</v>
      </c>
      <c r="M159" s="32">
        <f>Table157[[#This Row],[Defaulted Principal]]-Table157[[#This Row],[Estimated Loss]]</f>
        <v>0</v>
      </c>
      <c r="N159" s="32">
        <f>IFERROR(VLOOKUP(Table157[[#This Row],[Period]],$L$16:$M$385,2,FALSE),0)</f>
        <v>0</v>
      </c>
      <c r="O159" s="32">
        <f>Table157[[#This Row],[Beginning Balance]]-Table157[[#This Row],[Principal]]-Table157[[#This Row],[Prepayments]]-Table157[[#This Row],[Defaulted Principal]]</f>
        <v>0</v>
      </c>
      <c r="P159" s="32">
        <f>Table157[[#This Row],[Principal]]+Table157[[#This Row],[Interest]]+Table157[[#This Row],[Prepayments]]+Table157[[#This Row],[RecoveredAmount]]</f>
        <v>0</v>
      </c>
      <c r="Q159" s="32">
        <f ca="1">ROUND(Table157[[#This Row],[Cash Flow]]/((1+ActualRateToUse)^(IF(ISNUMBER(SEARCH("Actual",$C$7)),Table157[[#This Row],[Running Total]]/365,Table157[[#This Row],[Period]]/12))),2)</f>
        <v>0</v>
      </c>
      <c r="R159" s="4">
        <f>IF(MONTH(Table157[[#This Row],[Date]])=2,28,DAY(DATE(YEAR(Table157[[#This Row],[Date]]),MONTH(Table157[[#This Row],[Date]])+1,1)-1))</f>
        <v>31</v>
      </c>
      <c r="S159" s="4">
        <f ca="1">SUM(OFFSET(Table157[[#Headers],[Days in month]],1,0):Table157[[#This Row],[Days in month]])</f>
        <v>4350</v>
      </c>
      <c r="T159" s="30">
        <f>InterestRate*AmortizationMultiplier*IF(ISNUMBER(SEARCH("Actual",$C$7)),Table157[[#This Row],[Days in month]]/365,1/12)</f>
        <v>2.9708333333333331E-3</v>
      </c>
    </row>
    <row r="160" spans="2:20" x14ac:dyDescent="0.2">
      <c r="B160" s="41">
        <f t="shared" si="6"/>
        <v>50221</v>
      </c>
      <c r="C160" s="4">
        <f t="shared" si="8"/>
        <v>144</v>
      </c>
      <c r="D160" s="32">
        <f t="shared" si="7"/>
        <v>0</v>
      </c>
      <c r="E160" s="32">
        <f>ROUND(Table157[[#This Row],[Beginning Balance]]*Table157[[#This Row],[Monthly Interest Rate]],2)</f>
        <v>0</v>
      </c>
      <c r="F160" s="32">
        <f t="shared" si="9"/>
        <v>112</v>
      </c>
      <c r="G160" s="45">
        <f>IFERROR(IF($C$13="No","N/A",IF(Table157[[#This Row],[Period]]=1,$C$6,PMT(InterestRate*AmortizationMultiplier/12,Table157[[#This Row],[Am Thru]],-Table157[[#This Row],[Beginning Balance]]))),0)</f>
        <v>0</v>
      </c>
      <c r="H160" s="32">
        <f>MAX(0,IF(C160=$C$4,D160,ROUND(IF($C$3="Fixed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0" s="32">
        <f>ROUND(Table157[[#This Row],[Defaulted Principal]]*IF($C$9="No",$E$4,VLOOKUP(Table157[[#This Row],[Period]],[1]Forecast!$H$2:$L$1048576,3,FALSE)),2)</f>
        <v>0</v>
      </c>
      <c r="L160" s="4">
        <f>Table157[[#This Row],[Period]]+$E$9</f>
        <v>156</v>
      </c>
      <c r="M160" s="32">
        <f>Table157[[#This Row],[Defaulted Principal]]-Table157[[#This Row],[Estimated Loss]]</f>
        <v>0</v>
      </c>
      <c r="N160" s="32">
        <f>IFERROR(VLOOKUP(Table157[[#This Row],[Period]],$L$16:$M$385,2,FALSE),0)</f>
        <v>0</v>
      </c>
      <c r="O160" s="32">
        <f>Table157[[#This Row],[Beginning Balance]]-Table157[[#This Row],[Principal]]-Table157[[#This Row],[Prepayments]]-Table157[[#This Row],[Defaulted Principal]]</f>
        <v>0</v>
      </c>
      <c r="P160" s="32">
        <f>Table157[[#This Row],[Principal]]+Table157[[#This Row],[Interest]]+Table157[[#This Row],[Prepayments]]+Table157[[#This Row],[RecoveredAmount]]</f>
        <v>0</v>
      </c>
      <c r="Q160" s="32">
        <f ca="1">ROUND(Table157[[#This Row],[Cash Flow]]/((1+ActualRateToUse)^(IF(ISNUMBER(SEARCH("Actual",$C$7)),Table157[[#This Row],[Running Total]]/365,Table157[[#This Row],[Period]]/12))),2)</f>
        <v>0</v>
      </c>
      <c r="R160" s="4">
        <f>IF(MONTH(Table157[[#This Row],[Date]])=2,28,DAY(DATE(YEAR(Table157[[#This Row],[Date]]),MONTH(Table157[[#This Row],[Date]])+1,1)-1))</f>
        <v>30</v>
      </c>
      <c r="S160" s="4">
        <f ca="1">SUM(OFFSET(Table157[[#Headers],[Days in month]],1,0):Table157[[#This Row],[Days in month]])</f>
        <v>4380</v>
      </c>
      <c r="T160" s="30">
        <f>InterestRate*AmortizationMultiplier*IF(ISNUMBER(SEARCH("Actual",$C$7)),Table157[[#This Row],[Days in month]]/365,1/12)</f>
        <v>2.8749999999999995E-3</v>
      </c>
    </row>
    <row r="161" spans="2:20" x14ac:dyDescent="0.2">
      <c r="B161" s="41">
        <f t="shared" si="6"/>
        <v>50252</v>
      </c>
      <c r="C161" s="4">
        <f t="shared" si="8"/>
        <v>145</v>
      </c>
      <c r="D161" s="32">
        <f t="shared" si="7"/>
        <v>0</v>
      </c>
      <c r="E161" s="32">
        <f>ROUND(Table157[[#This Row],[Beginning Balance]]*Table157[[#This Row],[Monthly Interest Rate]],2)</f>
        <v>0</v>
      </c>
      <c r="F161" s="32">
        <f t="shared" si="9"/>
        <v>111</v>
      </c>
      <c r="G161" s="45">
        <f>IFERROR(IF($C$13="No","N/A",IF(Table157[[#This Row],[Period]]=1,$C$6,PMT(InterestRate*AmortizationMultiplier/12,Table157[[#This Row],[Am Thru]],-Table157[[#This Row],[Beginning Balance]]))),0)</f>
        <v>0</v>
      </c>
      <c r="H161" s="32">
        <f>MAX(0,IF(C161=$C$4,D161,ROUND(IF($C$3="Fixed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1" s="32">
        <f>ROUND(Table157[[#This Row],[Defaulted Principal]]*IF($C$9="No",$E$4,VLOOKUP(Table157[[#This Row],[Period]],[1]Forecast!$H$2:$L$1048576,3,FALSE)),2)</f>
        <v>0</v>
      </c>
      <c r="L161" s="4">
        <f>Table157[[#This Row],[Period]]+$E$9</f>
        <v>157</v>
      </c>
      <c r="M161" s="32">
        <f>Table157[[#This Row],[Defaulted Principal]]-Table157[[#This Row],[Estimated Loss]]</f>
        <v>0</v>
      </c>
      <c r="N161" s="32">
        <f>IFERROR(VLOOKUP(Table157[[#This Row],[Period]],$L$16:$M$385,2,FALSE),0)</f>
        <v>0</v>
      </c>
      <c r="O161" s="32">
        <f>Table157[[#This Row],[Beginning Balance]]-Table157[[#This Row],[Principal]]-Table157[[#This Row],[Prepayments]]-Table157[[#This Row],[Defaulted Principal]]</f>
        <v>0</v>
      </c>
      <c r="P161" s="32">
        <f>Table157[[#This Row],[Principal]]+Table157[[#This Row],[Interest]]+Table157[[#This Row],[Prepayments]]+Table157[[#This Row],[RecoveredAmount]]</f>
        <v>0</v>
      </c>
      <c r="Q161" s="32">
        <f ca="1">ROUND(Table157[[#This Row],[Cash Flow]]/((1+ActualRateToUse)^(IF(ISNUMBER(SEARCH("Actual",$C$7)),Table157[[#This Row],[Running Total]]/365,Table157[[#This Row],[Period]]/12))),2)</f>
        <v>0</v>
      </c>
      <c r="R161" s="4">
        <f>IF(MONTH(Table157[[#This Row],[Date]])=2,28,DAY(DATE(YEAR(Table157[[#This Row],[Date]]),MONTH(Table157[[#This Row],[Date]])+1,1)-1))</f>
        <v>31</v>
      </c>
      <c r="S161" s="4">
        <f ca="1">SUM(OFFSET(Table157[[#Headers],[Days in month]],1,0):Table157[[#This Row],[Days in month]])</f>
        <v>4411</v>
      </c>
      <c r="T161" s="30">
        <f>InterestRate*AmortizationMultiplier*IF(ISNUMBER(SEARCH("Actual",$C$7)),Table157[[#This Row],[Days in month]]/365,1/12)</f>
        <v>2.9708333333333331E-3</v>
      </c>
    </row>
    <row r="162" spans="2:20" x14ac:dyDescent="0.2">
      <c r="B162" s="41">
        <f t="shared" si="6"/>
        <v>50283</v>
      </c>
      <c r="C162" s="4">
        <f t="shared" si="8"/>
        <v>146</v>
      </c>
      <c r="D162" s="32">
        <f t="shared" si="7"/>
        <v>0</v>
      </c>
      <c r="E162" s="32">
        <f>ROUND(Table157[[#This Row],[Beginning Balance]]*Table157[[#This Row],[Monthly Interest Rate]],2)</f>
        <v>0</v>
      </c>
      <c r="F162" s="32">
        <f t="shared" si="9"/>
        <v>110</v>
      </c>
      <c r="G162" s="45">
        <f>IFERROR(IF($C$13="No","N/A",IF(Table157[[#This Row],[Period]]=1,$C$6,PMT(InterestRate*AmortizationMultiplier/12,Table157[[#This Row],[Am Thru]],-Table157[[#This Row],[Beginning Balance]]))),0)</f>
        <v>0</v>
      </c>
      <c r="H162" s="32">
        <f>MAX(0,IF(C162=$C$4,D162,ROUND(IF($C$3="Fixed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2" s="32">
        <f>ROUND(Table157[[#This Row],[Defaulted Principal]]*IF($C$9="No",$E$4,VLOOKUP(Table157[[#This Row],[Period]],[1]Forecast!$H$2:$L$1048576,3,FALSE)),2)</f>
        <v>0</v>
      </c>
      <c r="L162" s="4">
        <f>Table157[[#This Row],[Period]]+$E$9</f>
        <v>158</v>
      </c>
      <c r="M162" s="32">
        <f>Table157[[#This Row],[Defaulted Principal]]-Table157[[#This Row],[Estimated Loss]]</f>
        <v>0</v>
      </c>
      <c r="N162" s="32">
        <f>IFERROR(VLOOKUP(Table157[[#This Row],[Period]],$L$16:$M$385,2,FALSE),0)</f>
        <v>0</v>
      </c>
      <c r="O162" s="32">
        <f>Table157[[#This Row],[Beginning Balance]]-Table157[[#This Row],[Principal]]-Table157[[#This Row],[Prepayments]]-Table157[[#This Row],[Defaulted Principal]]</f>
        <v>0</v>
      </c>
      <c r="P162" s="32">
        <f>Table157[[#This Row],[Principal]]+Table157[[#This Row],[Interest]]+Table157[[#This Row],[Prepayments]]+Table157[[#This Row],[RecoveredAmount]]</f>
        <v>0</v>
      </c>
      <c r="Q162" s="32">
        <f ca="1">ROUND(Table157[[#This Row],[Cash Flow]]/((1+ActualRateToUse)^(IF(ISNUMBER(SEARCH("Actual",$C$7)),Table157[[#This Row],[Running Total]]/365,Table157[[#This Row],[Period]]/12))),2)</f>
        <v>0</v>
      </c>
      <c r="R162" s="4">
        <f>IF(MONTH(Table157[[#This Row],[Date]])=2,28,DAY(DATE(YEAR(Table157[[#This Row],[Date]]),MONTH(Table157[[#This Row],[Date]])+1,1)-1))</f>
        <v>31</v>
      </c>
      <c r="S162" s="4">
        <f ca="1">SUM(OFFSET(Table157[[#Headers],[Days in month]],1,0):Table157[[#This Row],[Days in month]])</f>
        <v>4442</v>
      </c>
      <c r="T162" s="30">
        <f>InterestRate*AmortizationMultiplier*IF(ISNUMBER(SEARCH("Actual",$C$7)),Table157[[#This Row],[Days in month]]/365,1/12)</f>
        <v>2.9708333333333331E-3</v>
      </c>
    </row>
    <row r="163" spans="2:20" x14ac:dyDescent="0.2">
      <c r="B163" s="41">
        <f t="shared" si="6"/>
        <v>50313</v>
      </c>
      <c r="C163" s="4">
        <f t="shared" si="8"/>
        <v>147</v>
      </c>
      <c r="D163" s="32">
        <f t="shared" si="7"/>
        <v>0</v>
      </c>
      <c r="E163" s="32">
        <f>ROUND(Table157[[#This Row],[Beginning Balance]]*Table157[[#This Row],[Monthly Interest Rate]],2)</f>
        <v>0</v>
      </c>
      <c r="F163" s="32">
        <f t="shared" si="9"/>
        <v>109</v>
      </c>
      <c r="G163" s="45">
        <f>IFERROR(IF($C$13="No","N/A",IF(Table157[[#This Row],[Period]]=1,$C$6,PMT(InterestRate*AmortizationMultiplier/12,Table157[[#This Row],[Am Thru]],-Table157[[#This Row],[Beginning Balance]]))),0)</f>
        <v>0</v>
      </c>
      <c r="H163" s="32">
        <f>MAX(0,IF(C163=$C$4,D163,ROUND(IF($C$3="Fixed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3" s="32">
        <f>ROUND(Table157[[#This Row],[Defaulted Principal]]*IF($C$9="No",$E$4,VLOOKUP(Table157[[#This Row],[Period]],[1]Forecast!$H$2:$L$1048576,3,FALSE)),2)</f>
        <v>0</v>
      </c>
      <c r="L163" s="4">
        <f>Table157[[#This Row],[Period]]+$E$9</f>
        <v>159</v>
      </c>
      <c r="M163" s="32">
        <f>Table157[[#This Row],[Defaulted Principal]]-Table157[[#This Row],[Estimated Loss]]</f>
        <v>0</v>
      </c>
      <c r="N163" s="32">
        <f>IFERROR(VLOOKUP(Table157[[#This Row],[Period]],$L$16:$M$385,2,FALSE),0)</f>
        <v>0</v>
      </c>
      <c r="O163" s="32">
        <f>Table157[[#This Row],[Beginning Balance]]-Table157[[#This Row],[Principal]]-Table157[[#This Row],[Prepayments]]-Table157[[#This Row],[Defaulted Principal]]</f>
        <v>0</v>
      </c>
      <c r="P163" s="32">
        <f>Table157[[#This Row],[Principal]]+Table157[[#This Row],[Interest]]+Table157[[#This Row],[Prepayments]]+Table157[[#This Row],[RecoveredAmount]]</f>
        <v>0</v>
      </c>
      <c r="Q163" s="32">
        <f ca="1">ROUND(Table157[[#This Row],[Cash Flow]]/((1+ActualRateToUse)^(IF(ISNUMBER(SEARCH("Actual",$C$7)),Table157[[#This Row],[Running Total]]/365,Table157[[#This Row],[Period]]/12))),2)</f>
        <v>0</v>
      </c>
      <c r="R163" s="4">
        <f>IF(MONTH(Table157[[#This Row],[Date]])=2,28,DAY(DATE(YEAR(Table157[[#This Row],[Date]]),MONTH(Table157[[#This Row],[Date]])+1,1)-1))</f>
        <v>30</v>
      </c>
      <c r="S163" s="4">
        <f ca="1">SUM(OFFSET(Table157[[#Headers],[Days in month]],1,0):Table157[[#This Row],[Days in month]])</f>
        <v>4472</v>
      </c>
      <c r="T163" s="30">
        <f>InterestRate*AmortizationMultiplier*IF(ISNUMBER(SEARCH("Actual",$C$7)),Table157[[#This Row],[Days in month]]/365,1/12)</f>
        <v>2.8749999999999995E-3</v>
      </c>
    </row>
    <row r="164" spans="2:20" x14ac:dyDescent="0.2">
      <c r="B164" s="41">
        <f t="shared" si="6"/>
        <v>50344</v>
      </c>
      <c r="C164" s="4">
        <f t="shared" si="8"/>
        <v>148</v>
      </c>
      <c r="D164" s="32">
        <f t="shared" si="7"/>
        <v>0</v>
      </c>
      <c r="E164" s="32">
        <f>ROUND(Table157[[#This Row],[Beginning Balance]]*Table157[[#This Row],[Monthly Interest Rate]],2)</f>
        <v>0</v>
      </c>
      <c r="F164" s="32">
        <f t="shared" si="9"/>
        <v>108</v>
      </c>
      <c r="G164" s="45">
        <f>IFERROR(IF($C$13="No","N/A",IF(Table157[[#This Row],[Period]]=1,$C$6,PMT(InterestRate*AmortizationMultiplier/12,Table157[[#This Row],[Am Thru]],-Table157[[#This Row],[Beginning Balance]]))),0)</f>
        <v>0</v>
      </c>
      <c r="H164" s="32">
        <f>MAX(0,IF(C164=$C$4,D164,ROUND(IF($C$3="Fixed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4" s="32">
        <f>ROUND(Table157[[#This Row],[Defaulted Principal]]*IF($C$9="No",$E$4,VLOOKUP(Table157[[#This Row],[Period]],[1]Forecast!$H$2:$L$1048576,3,FALSE)),2)</f>
        <v>0</v>
      </c>
      <c r="L164" s="4">
        <f>Table157[[#This Row],[Period]]+$E$9</f>
        <v>160</v>
      </c>
      <c r="M164" s="32">
        <f>Table157[[#This Row],[Defaulted Principal]]-Table157[[#This Row],[Estimated Loss]]</f>
        <v>0</v>
      </c>
      <c r="N164" s="32">
        <f>IFERROR(VLOOKUP(Table157[[#This Row],[Period]],$L$16:$M$385,2,FALSE),0)</f>
        <v>0</v>
      </c>
      <c r="O164" s="32">
        <f>Table157[[#This Row],[Beginning Balance]]-Table157[[#This Row],[Principal]]-Table157[[#This Row],[Prepayments]]-Table157[[#This Row],[Defaulted Principal]]</f>
        <v>0</v>
      </c>
      <c r="P164" s="32">
        <f>Table157[[#This Row],[Principal]]+Table157[[#This Row],[Interest]]+Table157[[#This Row],[Prepayments]]+Table157[[#This Row],[RecoveredAmount]]</f>
        <v>0</v>
      </c>
      <c r="Q164" s="32">
        <f ca="1">ROUND(Table157[[#This Row],[Cash Flow]]/((1+ActualRateToUse)^(IF(ISNUMBER(SEARCH("Actual",$C$7)),Table157[[#This Row],[Running Total]]/365,Table157[[#This Row],[Period]]/12))),2)</f>
        <v>0</v>
      </c>
      <c r="R164" s="4">
        <f>IF(MONTH(Table157[[#This Row],[Date]])=2,28,DAY(DATE(YEAR(Table157[[#This Row],[Date]]),MONTH(Table157[[#This Row],[Date]])+1,1)-1))</f>
        <v>31</v>
      </c>
      <c r="S164" s="4">
        <f ca="1">SUM(OFFSET(Table157[[#Headers],[Days in month]],1,0):Table157[[#This Row],[Days in month]])</f>
        <v>4503</v>
      </c>
      <c r="T164" s="30">
        <f>InterestRate*AmortizationMultiplier*IF(ISNUMBER(SEARCH("Actual",$C$7)),Table157[[#This Row],[Days in month]]/365,1/12)</f>
        <v>2.9708333333333331E-3</v>
      </c>
    </row>
    <row r="165" spans="2:20" x14ac:dyDescent="0.2">
      <c r="B165" s="41">
        <f t="shared" si="6"/>
        <v>50374</v>
      </c>
      <c r="C165" s="4">
        <f t="shared" si="8"/>
        <v>149</v>
      </c>
      <c r="D165" s="32">
        <f t="shared" si="7"/>
        <v>0</v>
      </c>
      <c r="E165" s="32">
        <f>ROUND(Table157[[#This Row],[Beginning Balance]]*Table157[[#This Row],[Monthly Interest Rate]],2)</f>
        <v>0</v>
      </c>
      <c r="F165" s="32">
        <f t="shared" si="9"/>
        <v>107</v>
      </c>
      <c r="G165" s="45">
        <f>IFERROR(IF($C$13="No","N/A",IF(Table157[[#This Row],[Period]]=1,$C$6,PMT(InterestRate*AmortizationMultiplier/12,Table157[[#This Row],[Am Thru]],-Table157[[#This Row],[Beginning Balance]]))),0)</f>
        <v>0</v>
      </c>
      <c r="H165" s="32">
        <f>MAX(0,IF(C165=$C$4,D165,ROUND(IF($C$3="Fixed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5" s="32">
        <f>ROUND(Table157[[#This Row],[Defaulted Principal]]*IF($C$9="No",$E$4,VLOOKUP(Table157[[#This Row],[Period]],[1]Forecast!$H$2:$L$1048576,3,FALSE)),2)</f>
        <v>0</v>
      </c>
      <c r="L165" s="4">
        <f>Table157[[#This Row],[Period]]+$E$9</f>
        <v>161</v>
      </c>
      <c r="M165" s="32">
        <f>Table157[[#This Row],[Defaulted Principal]]-Table157[[#This Row],[Estimated Loss]]</f>
        <v>0</v>
      </c>
      <c r="N165" s="32">
        <f>IFERROR(VLOOKUP(Table157[[#This Row],[Period]],$L$16:$M$385,2,FALSE),0)</f>
        <v>0</v>
      </c>
      <c r="O165" s="32">
        <f>Table157[[#This Row],[Beginning Balance]]-Table157[[#This Row],[Principal]]-Table157[[#This Row],[Prepayments]]-Table157[[#This Row],[Defaulted Principal]]</f>
        <v>0</v>
      </c>
      <c r="P165" s="32">
        <f>Table157[[#This Row],[Principal]]+Table157[[#This Row],[Interest]]+Table157[[#This Row],[Prepayments]]+Table157[[#This Row],[RecoveredAmount]]</f>
        <v>0</v>
      </c>
      <c r="Q165" s="32">
        <f ca="1">ROUND(Table157[[#This Row],[Cash Flow]]/((1+ActualRateToUse)^(IF(ISNUMBER(SEARCH("Actual",$C$7)),Table157[[#This Row],[Running Total]]/365,Table157[[#This Row],[Period]]/12))),2)</f>
        <v>0</v>
      </c>
      <c r="R165" s="4">
        <f>IF(MONTH(Table157[[#This Row],[Date]])=2,28,DAY(DATE(YEAR(Table157[[#This Row],[Date]]),MONTH(Table157[[#This Row],[Date]])+1,1)-1))</f>
        <v>30</v>
      </c>
      <c r="S165" s="4">
        <f ca="1">SUM(OFFSET(Table157[[#Headers],[Days in month]],1,0):Table157[[#This Row],[Days in month]])</f>
        <v>4533</v>
      </c>
      <c r="T165" s="30">
        <f>InterestRate*AmortizationMultiplier*IF(ISNUMBER(SEARCH("Actual",$C$7)),Table157[[#This Row],[Days in month]]/365,1/12)</f>
        <v>2.8749999999999995E-3</v>
      </c>
    </row>
    <row r="166" spans="2:20" x14ac:dyDescent="0.2">
      <c r="B166" s="41">
        <f t="shared" si="6"/>
        <v>50405</v>
      </c>
      <c r="C166" s="4">
        <f t="shared" si="8"/>
        <v>150</v>
      </c>
      <c r="D166" s="32">
        <f t="shared" si="7"/>
        <v>0</v>
      </c>
      <c r="E166" s="32">
        <f>ROUND(Table157[[#This Row],[Beginning Balance]]*Table157[[#This Row],[Monthly Interest Rate]],2)</f>
        <v>0</v>
      </c>
      <c r="F166" s="32">
        <f t="shared" si="9"/>
        <v>106</v>
      </c>
      <c r="G166" s="45">
        <f>IFERROR(IF($C$13="No","N/A",IF(Table157[[#This Row],[Period]]=1,$C$6,PMT(InterestRate*AmortizationMultiplier/12,Table157[[#This Row],[Am Thru]],-Table157[[#This Row],[Beginning Balance]]))),0)</f>
        <v>0</v>
      </c>
      <c r="H166" s="32">
        <f>MAX(0,IF(C166=$C$4,D166,ROUND(IF($C$3="Fixed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6" s="32">
        <f>ROUND(Table157[[#This Row],[Defaulted Principal]]*IF($C$9="No",$E$4,VLOOKUP(Table157[[#This Row],[Period]],[1]Forecast!$H$2:$L$1048576,3,FALSE)),2)</f>
        <v>0</v>
      </c>
      <c r="L166" s="4">
        <f>Table157[[#This Row],[Period]]+$E$9</f>
        <v>162</v>
      </c>
      <c r="M166" s="32">
        <f>Table157[[#This Row],[Defaulted Principal]]-Table157[[#This Row],[Estimated Loss]]</f>
        <v>0</v>
      </c>
      <c r="N166" s="32">
        <f>IFERROR(VLOOKUP(Table157[[#This Row],[Period]],$L$16:$M$385,2,FALSE),0)</f>
        <v>0</v>
      </c>
      <c r="O166" s="32">
        <f>Table157[[#This Row],[Beginning Balance]]-Table157[[#This Row],[Principal]]-Table157[[#This Row],[Prepayments]]-Table157[[#This Row],[Defaulted Principal]]</f>
        <v>0</v>
      </c>
      <c r="P166" s="32">
        <f>Table157[[#This Row],[Principal]]+Table157[[#This Row],[Interest]]+Table157[[#This Row],[Prepayments]]+Table157[[#This Row],[RecoveredAmount]]</f>
        <v>0</v>
      </c>
      <c r="Q166" s="32">
        <f ca="1">ROUND(Table157[[#This Row],[Cash Flow]]/((1+ActualRateToUse)^(IF(ISNUMBER(SEARCH("Actual",$C$7)),Table157[[#This Row],[Running Total]]/365,Table157[[#This Row],[Period]]/12))),2)</f>
        <v>0</v>
      </c>
      <c r="R166" s="4">
        <f>IF(MONTH(Table157[[#This Row],[Date]])=2,28,DAY(DATE(YEAR(Table157[[#This Row],[Date]]),MONTH(Table157[[#This Row],[Date]])+1,1)-1))</f>
        <v>31</v>
      </c>
      <c r="S166" s="4">
        <f ca="1">SUM(OFFSET(Table157[[#Headers],[Days in month]],1,0):Table157[[#This Row],[Days in month]])</f>
        <v>4564</v>
      </c>
      <c r="T166" s="30">
        <f>InterestRate*AmortizationMultiplier*IF(ISNUMBER(SEARCH("Actual",$C$7)),Table157[[#This Row],[Days in month]]/365,1/12)</f>
        <v>2.9708333333333331E-3</v>
      </c>
    </row>
    <row r="167" spans="2:20" x14ac:dyDescent="0.2">
      <c r="B167" s="41">
        <f t="shared" si="6"/>
        <v>50436</v>
      </c>
      <c r="C167" s="4">
        <f t="shared" si="8"/>
        <v>151</v>
      </c>
      <c r="D167" s="32">
        <f t="shared" si="7"/>
        <v>0</v>
      </c>
      <c r="E167" s="32">
        <f>ROUND(Table157[[#This Row],[Beginning Balance]]*Table157[[#This Row],[Monthly Interest Rate]],2)</f>
        <v>0</v>
      </c>
      <c r="F167" s="32">
        <f t="shared" si="9"/>
        <v>105</v>
      </c>
      <c r="G167" s="45">
        <f>IFERROR(IF($C$13="No","N/A",IF(Table157[[#This Row],[Period]]=1,$C$6,PMT(InterestRate*AmortizationMultiplier/12,Table157[[#This Row],[Am Thru]],-Table157[[#This Row],[Beginning Balance]]))),0)</f>
        <v>0</v>
      </c>
      <c r="H167" s="32">
        <f>MAX(0,IF(C167=$C$4,D167,ROUND(IF($C$3="Fixed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7" s="32">
        <f>ROUND(Table157[[#This Row],[Defaulted Principal]]*IF($C$9="No",$E$4,VLOOKUP(Table157[[#This Row],[Period]],[1]Forecast!$H$2:$L$1048576,3,FALSE)),2)</f>
        <v>0</v>
      </c>
      <c r="L167" s="4">
        <f>Table157[[#This Row],[Period]]+$E$9</f>
        <v>163</v>
      </c>
      <c r="M167" s="32">
        <f>Table157[[#This Row],[Defaulted Principal]]-Table157[[#This Row],[Estimated Loss]]</f>
        <v>0</v>
      </c>
      <c r="N167" s="32">
        <f>IFERROR(VLOOKUP(Table157[[#This Row],[Period]],$L$16:$M$385,2,FALSE),0)</f>
        <v>0</v>
      </c>
      <c r="O167" s="32">
        <f>Table157[[#This Row],[Beginning Balance]]-Table157[[#This Row],[Principal]]-Table157[[#This Row],[Prepayments]]-Table157[[#This Row],[Defaulted Principal]]</f>
        <v>0</v>
      </c>
      <c r="P167" s="32">
        <f>Table157[[#This Row],[Principal]]+Table157[[#This Row],[Interest]]+Table157[[#This Row],[Prepayments]]+Table157[[#This Row],[RecoveredAmount]]</f>
        <v>0</v>
      </c>
      <c r="Q167" s="32">
        <f ca="1">ROUND(Table157[[#This Row],[Cash Flow]]/((1+ActualRateToUse)^(IF(ISNUMBER(SEARCH("Actual",$C$7)),Table157[[#This Row],[Running Total]]/365,Table157[[#This Row],[Period]]/12))),2)</f>
        <v>0</v>
      </c>
      <c r="R167" s="4">
        <f>IF(MONTH(Table157[[#This Row],[Date]])=2,28,DAY(DATE(YEAR(Table157[[#This Row],[Date]]),MONTH(Table157[[#This Row],[Date]])+1,1)-1))</f>
        <v>31</v>
      </c>
      <c r="S167" s="4">
        <f ca="1">SUM(OFFSET(Table157[[#Headers],[Days in month]],1,0):Table157[[#This Row],[Days in month]])</f>
        <v>4595</v>
      </c>
      <c r="T167" s="30">
        <f>InterestRate*AmortizationMultiplier*IF(ISNUMBER(SEARCH("Actual",$C$7)),Table157[[#This Row],[Days in month]]/365,1/12)</f>
        <v>2.9708333333333331E-3</v>
      </c>
    </row>
    <row r="168" spans="2:20" x14ac:dyDescent="0.2">
      <c r="B168" s="41">
        <f t="shared" si="6"/>
        <v>50464</v>
      </c>
      <c r="C168" s="4">
        <f t="shared" si="8"/>
        <v>152</v>
      </c>
      <c r="D168" s="32">
        <f t="shared" si="7"/>
        <v>0</v>
      </c>
      <c r="E168" s="32">
        <f>ROUND(Table157[[#This Row],[Beginning Balance]]*Table157[[#This Row],[Monthly Interest Rate]],2)</f>
        <v>0</v>
      </c>
      <c r="F168" s="32">
        <f t="shared" si="9"/>
        <v>104</v>
      </c>
      <c r="G168" s="45">
        <f>IFERROR(IF($C$13="No","N/A",IF(Table157[[#This Row],[Period]]=1,$C$6,PMT(InterestRate*AmortizationMultiplier/12,Table157[[#This Row],[Am Thru]],-Table157[[#This Row],[Beginning Balance]]))),0)</f>
        <v>0</v>
      </c>
      <c r="H168" s="32">
        <f>MAX(0,IF(C168=$C$4,D168,ROUND(IF($C$3="Fixed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8" s="32">
        <f>ROUND(Table157[[#This Row],[Defaulted Principal]]*IF($C$9="No",$E$4,VLOOKUP(Table157[[#This Row],[Period]],[1]Forecast!$H$2:$L$1048576,3,FALSE)),2)</f>
        <v>0</v>
      </c>
      <c r="L168" s="4">
        <f>Table157[[#This Row],[Period]]+$E$9</f>
        <v>164</v>
      </c>
      <c r="M168" s="32">
        <f>Table157[[#This Row],[Defaulted Principal]]-Table157[[#This Row],[Estimated Loss]]</f>
        <v>0</v>
      </c>
      <c r="N168" s="32">
        <f>IFERROR(VLOOKUP(Table157[[#This Row],[Period]],$L$16:$M$385,2,FALSE),0)</f>
        <v>0</v>
      </c>
      <c r="O168" s="32">
        <f>Table157[[#This Row],[Beginning Balance]]-Table157[[#This Row],[Principal]]-Table157[[#This Row],[Prepayments]]-Table157[[#This Row],[Defaulted Principal]]</f>
        <v>0</v>
      </c>
      <c r="P168" s="32">
        <f>Table157[[#This Row],[Principal]]+Table157[[#This Row],[Interest]]+Table157[[#This Row],[Prepayments]]+Table157[[#This Row],[RecoveredAmount]]</f>
        <v>0</v>
      </c>
      <c r="Q168" s="32">
        <f ca="1">ROUND(Table157[[#This Row],[Cash Flow]]/((1+ActualRateToUse)^(IF(ISNUMBER(SEARCH("Actual",$C$7)),Table157[[#This Row],[Running Total]]/365,Table157[[#This Row],[Period]]/12))),2)</f>
        <v>0</v>
      </c>
      <c r="R168" s="4">
        <f>IF(MONTH(Table157[[#This Row],[Date]])=2,28,DAY(DATE(YEAR(Table157[[#This Row],[Date]]),MONTH(Table157[[#This Row],[Date]])+1,1)-1))</f>
        <v>28</v>
      </c>
      <c r="S168" s="4">
        <f ca="1">SUM(OFFSET(Table157[[#Headers],[Days in month]],1,0):Table157[[#This Row],[Days in month]])</f>
        <v>4623</v>
      </c>
      <c r="T168" s="30">
        <f>InterestRate*AmortizationMultiplier*IF(ISNUMBER(SEARCH("Actual",$C$7)),Table157[[#This Row],[Days in month]]/365,1/12)</f>
        <v>2.6833333333333336E-3</v>
      </c>
    </row>
    <row r="169" spans="2:20" x14ac:dyDescent="0.2">
      <c r="B169" s="41">
        <f t="shared" si="6"/>
        <v>50495</v>
      </c>
      <c r="C169" s="4">
        <f t="shared" si="8"/>
        <v>153</v>
      </c>
      <c r="D169" s="32">
        <f t="shared" si="7"/>
        <v>0</v>
      </c>
      <c r="E169" s="32">
        <f>ROUND(Table157[[#This Row],[Beginning Balance]]*Table157[[#This Row],[Monthly Interest Rate]],2)</f>
        <v>0</v>
      </c>
      <c r="F169" s="32">
        <f t="shared" si="9"/>
        <v>103</v>
      </c>
      <c r="G169" s="45">
        <f>IFERROR(IF($C$13="No","N/A",IF(Table157[[#This Row],[Period]]=1,$C$6,PMT(InterestRate*AmortizationMultiplier/12,Table157[[#This Row],[Am Thru]],-Table157[[#This Row],[Beginning Balance]]))),0)</f>
        <v>0</v>
      </c>
      <c r="H169" s="32">
        <f>MAX(0,IF(C169=$C$4,D169,ROUND(IF($C$3="Fixed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6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6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69" s="32">
        <f>ROUND(Table157[[#This Row],[Defaulted Principal]]*IF($C$9="No",$E$4,VLOOKUP(Table157[[#This Row],[Period]],[1]Forecast!$H$2:$L$1048576,3,FALSE)),2)</f>
        <v>0</v>
      </c>
      <c r="L169" s="4">
        <f>Table157[[#This Row],[Period]]+$E$9</f>
        <v>165</v>
      </c>
      <c r="M169" s="32">
        <f>Table157[[#This Row],[Defaulted Principal]]-Table157[[#This Row],[Estimated Loss]]</f>
        <v>0</v>
      </c>
      <c r="N169" s="32">
        <f>IFERROR(VLOOKUP(Table157[[#This Row],[Period]],$L$16:$M$385,2,FALSE),0)</f>
        <v>0</v>
      </c>
      <c r="O169" s="32">
        <f>Table157[[#This Row],[Beginning Balance]]-Table157[[#This Row],[Principal]]-Table157[[#This Row],[Prepayments]]-Table157[[#This Row],[Defaulted Principal]]</f>
        <v>0</v>
      </c>
      <c r="P169" s="32">
        <f>Table157[[#This Row],[Principal]]+Table157[[#This Row],[Interest]]+Table157[[#This Row],[Prepayments]]+Table157[[#This Row],[RecoveredAmount]]</f>
        <v>0</v>
      </c>
      <c r="Q169" s="32">
        <f ca="1">ROUND(Table157[[#This Row],[Cash Flow]]/((1+ActualRateToUse)^(IF(ISNUMBER(SEARCH("Actual",$C$7)),Table157[[#This Row],[Running Total]]/365,Table157[[#This Row],[Period]]/12))),2)</f>
        <v>0</v>
      </c>
      <c r="R169" s="4">
        <f>IF(MONTH(Table157[[#This Row],[Date]])=2,28,DAY(DATE(YEAR(Table157[[#This Row],[Date]]),MONTH(Table157[[#This Row],[Date]])+1,1)-1))</f>
        <v>31</v>
      </c>
      <c r="S169" s="4">
        <f ca="1">SUM(OFFSET(Table157[[#Headers],[Days in month]],1,0):Table157[[#This Row],[Days in month]])</f>
        <v>4654</v>
      </c>
      <c r="T169" s="30">
        <f>InterestRate*AmortizationMultiplier*IF(ISNUMBER(SEARCH("Actual",$C$7)),Table157[[#This Row],[Days in month]]/365,1/12)</f>
        <v>2.9708333333333331E-3</v>
      </c>
    </row>
    <row r="170" spans="2:20" x14ac:dyDescent="0.2">
      <c r="B170" s="41">
        <f t="shared" si="6"/>
        <v>50525</v>
      </c>
      <c r="C170" s="4">
        <f t="shared" si="8"/>
        <v>154</v>
      </c>
      <c r="D170" s="32">
        <f t="shared" si="7"/>
        <v>0</v>
      </c>
      <c r="E170" s="32">
        <f>ROUND(Table157[[#This Row],[Beginning Balance]]*Table157[[#This Row],[Monthly Interest Rate]],2)</f>
        <v>0</v>
      </c>
      <c r="F170" s="32">
        <f t="shared" si="9"/>
        <v>102</v>
      </c>
      <c r="G170" s="45">
        <f>IFERROR(IF($C$13="No","N/A",IF(Table157[[#This Row],[Period]]=1,$C$6,PMT(InterestRate*AmortizationMultiplier/12,Table157[[#This Row],[Am Thru]],-Table157[[#This Row],[Beginning Balance]]))),0)</f>
        <v>0</v>
      </c>
      <c r="H170" s="32">
        <f>MAX(0,IF(C170=$C$4,D170,ROUND(IF($C$3="Fixed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0" s="32">
        <f>ROUND(Table157[[#This Row],[Defaulted Principal]]*IF($C$9="No",$E$4,VLOOKUP(Table157[[#This Row],[Period]],[1]Forecast!$H$2:$L$1048576,3,FALSE)),2)</f>
        <v>0</v>
      </c>
      <c r="L170" s="4">
        <f>Table157[[#This Row],[Period]]+$E$9</f>
        <v>166</v>
      </c>
      <c r="M170" s="32">
        <f>Table157[[#This Row],[Defaulted Principal]]-Table157[[#This Row],[Estimated Loss]]</f>
        <v>0</v>
      </c>
      <c r="N170" s="32">
        <f>IFERROR(VLOOKUP(Table157[[#This Row],[Period]],$L$16:$M$385,2,FALSE),0)</f>
        <v>0</v>
      </c>
      <c r="O170" s="32">
        <f>Table157[[#This Row],[Beginning Balance]]-Table157[[#This Row],[Principal]]-Table157[[#This Row],[Prepayments]]-Table157[[#This Row],[Defaulted Principal]]</f>
        <v>0</v>
      </c>
      <c r="P170" s="32">
        <f>Table157[[#This Row],[Principal]]+Table157[[#This Row],[Interest]]+Table157[[#This Row],[Prepayments]]+Table157[[#This Row],[RecoveredAmount]]</f>
        <v>0</v>
      </c>
      <c r="Q170" s="32">
        <f ca="1">ROUND(Table157[[#This Row],[Cash Flow]]/((1+ActualRateToUse)^(IF(ISNUMBER(SEARCH("Actual",$C$7)),Table157[[#This Row],[Running Total]]/365,Table157[[#This Row],[Period]]/12))),2)</f>
        <v>0</v>
      </c>
      <c r="R170" s="4">
        <f>IF(MONTH(Table157[[#This Row],[Date]])=2,28,DAY(DATE(YEAR(Table157[[#This Row],[Date]]),MONTH(Table157[[#This Row],[Date]])+1,1)-1))</f>
        <v>30</v>
      </c>
      <c r="S170" s="4">
        <f ca="1">SUM(OFFSET(Table157[[#Headers],[Days in month]],1,0):Table157[[#This Row],[Days in month]])</f>
        <v>4684</v>
      </c>
      <c r="T170" s="30">
        <f>InterestRate*AmortizationMultiplier*IF(ISNUMBER(SEARCH("Actual",$C$7)),Table157[[#This Row],[Days in month]]/365,1/12)</f>
        <v>2.8749999999999995E-3</v>
      </c>
    </row>
    <row r="171" spans="2:20" x14ac:dyDescent="0.2">
      <c r="B171" s="41">
        <f t="shared" si="6"/>
        <v>50556</v>
      </c>
      <c r="C171" s="4">
        <f t="shared" si="8"/>
        <v>155</v>
      </c>
      <c r="D171" s="32">
        <f t="shared" si="7"/>
        <v>0</v>
      </c>
      <c r="E171" s="32">
        <f>ROUND(Table157[[#This Row],[Beginning Balance]]*Table157[[#This Row],[Monthly Interest Rate]],2)</f>
        <v>0</v>
      </c>
      <c r="F171" s="32">
        <f t="shared" si="9"/>
        <v>101</v>
      </c>
      <c r="G171" s="45">
        <f>IFERROR(IF($C$13="No","N/A",IF(Table157[[#This Row],[Period]]=1,$C$6,PMT(InterestRate*AmortizationMultiplier/12,Table157[[#This Row],[Am Thru]],-Table157[[#This Row],[Beginning Balance]]))),0)</f>
        <v>0</v>
      </c>
      <c r="H171" s="32">
        <f>MAX(0,IF(C171=$C$4,D171,ROUND(IF($C$3="Fixed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1" s="32">
        <f>ROUND(Table157[[#This Row],[Defaulted Principal]]*IF($C$9="No",$E$4,VLOOKUP(Table157[[#This Row],[Period]],[1]Forecast!$H$2:$L$1048576,3,FALSE)),2)</f>
        <v>0</v>
      </c>
      <c r="L171" s="4">
        <f>Table157[[#This Row],[Period]]+$E$9</f>
        <v>167</v>
      </c>
      <c r="M171" s="32">
        <f>Table157[[#This Row],[Defaulted Principal]]-Table157[[#This Row],[Estimated Loss]]</f>
        <v>0</v>
      </c>
      <c r="N171" s="32">
        <f>IFERROR(VLOOKUP(Table157[[#This Row],[Period]],$L$16:$M$385,2,FALSE),0)</f>
        <v>0</v>
      </c>
      <c r="O171" s="32">
        <f>Table157[[#This Row],[Beginning Balance]]-Table157[[#This Row],[Principal]]-Table157[[#This Row],[Prepayments]]-Table157[[#This Row],[Defaulted Principal]]</f>
        <v>0</v>
      </c>
      <c r="P171" s="32">
        <f>Table157[[#This Row],[Principal]]+Table157[[#This Row],[Interest]]+Table157[[#This Row],[Prepayments]]+Table157[[#This Row],[RecoveredAmount]]</f>
        <v>0</v>
      </c>
      <c r="Q171" s="32">
        <f ca="1">ROUND(Table157[[#This Row],[Cash Flow]]/((1+ActualRateToUse)^(IF(ISNUMBER(SEARCH("Actual",$C$7)),Table157[[#This Row],[Running Total]]/365,Table157[[#This Row],[Period]]/12))),2)</f>
        <v>0</v>
      </c>
      <c r="R171" s="4">
        <f>IF(MONTH(Table157[[#This Row],[Date]])=2,28,DAY(DATE(YEAR(Table157[[#This Row],[Date]]),MONTH(Table157[[#This Row],[Date]])+1,1)-1))</f>
        <v>31</v>
      </c>
      <c r="S171" s="4">
        <f ca="1">SUM(OFFSET(Table157[[#Headers],[Days in month]],1,0):Table157[[#This Row],[Days in month]])</f>
        <v>4715</v>
      </c>
      <c r="T171" s="30">
        <f>InterestRate*AmortizationMultiplier*IF(ISNUMBER(SEARCH("Actual",$C$7)),Table157[[#This Row],[Days in month]]/365,1/12)</f>
        <v>2.9708333333333331E-3</v>
      </c>
    </row>
    <row r="172" spans="2:20" x14ac:dyDescent="0.2">
      <c r="B172" s="41">
        <f t="shared" si="6"/>
        <v>50586</v>
      </c>
      <c r="C172" s="4">
        <f t="shared" si="8"/>
        <v>156</v>
      </c>
      <c r="D172" s="32">
        <f t="shared" si="7"/>
        <v>0</v>
      </c>
      <c r="E172" s="32">
        <f>ROUND(Table157[[#This Row],[Beginning Balance]]*Table157[[#This Row],[Monthly Interest Rate]],2)</f>
        <v>0</v>
      </c>
      <c r="F172" s="32">
        <f t="shared" si="9"/>
        <v>100</v>
      </c>
      <c r="G172" s="45">
        <f>IFERROR(IF($C$13="No","N/A",IF(Table157[[#This Row],[Period]]=1,$C$6,PMT(InterestRate*AmortizationMultiplier/12,Table157[[#This Row],[Am Thru]],-Table157[[#This Row],[Beginning Balance]]))),0)</f>
        <v>0</v>
      </c>
      <c r="H172" s="32">
        <f>MAX(0,IF(C172=$C$4,D172,ROUND(IF($C$3="Fixed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2" s="32">
        <f>ROUND(Table157[[#This Row],[Defaulted Principal]]*IF($C$9="No",$E$4,VLOOKUP(Table157[[#This Row],[Period]],[1]Forecast!$H$2:$L$1048576,3,FALSE)),2)</f>
        <v>0</v>
      </c>
      <c r="L172" s="4">
        <f>Table157[[#This Row],[Period]]+$E$9</f>
        <v>168</v>
      </c>
      <c r="M172" s="32">
        <f>Table157[[#This Row],[Defaulted Principal]]-Table157[[#This Row],[Estimated Loss]]</f>
        <v>0</v>
      </c>
      <c r="N172" s="32">
        <f>IFERROR(VLOOKUP(Table157[[#This Row],[Period]],$L$16:$M$385,2,FALSE),0)</f>
        <v>0</v>
      </c>
      <c r="O172" s="32">
        <f>Table157[[#This Row],[Beginning Balance]]-Table157[[#This Row],[Principal]]-Table157[[#This Row],[Prepayments]]-Table157[[#This Row],[Defaulted Principal]]</f>
        <v>0</v>
      </c>
      <c r="P172" s="32">
        <f>Table157[[#This Row],[Principal]]+Table157[[#This Row],[Interest]]+Table157[[#This Row],[Prepayments]]+Table157[[#This Row],[RecoveredAmount]]</f>
        <v>0</v>
      </c>
      <c r="Q172" s="32">
        <f ca="1">ROUND(Table157[[#This Row],[Cash Flow]]/((1+ActualRateToUse)^(IF(ISNUMBER(SEARCH("Actual",$C$7)),Table157[[#This Row],[Running Total]]/365,Table157[[#This Row],[Period]]/12))),2)</f>
        <v>0</v>
      </c>
      <c r="R172" s="4">
        <f>IF(MONTH(Table157[[#This Row],[Date]])=2,28,DAY(DATE(YEAR(Table157[[#This Row],[Date]]),MONTH(Table157[[#This Row],[Date]])+1,1)-1))</f>
        <v>30</v>
      </c>
      <c r="S172" s="4">
        <f ca="1">SUM(OFFSET(Table157[[#Headers],[Days in month]],1,0):Table157[[#This Row],[Days in month]])</f>
        <v>4745</v>
      </c>
      <c r="T172" s="30">
        <f>InterestRate*AmortizationMultiplier*IF(ISNUMBER(SEARCH("Actual",$C$7)),Table157[[#This Row],[Days in month]]/365,1/12)</f>
        <v>2.8749999999999995E-3</v>
      </c>
    </row>
    <row r="173" spans="2:20" x14ac:dyDescent="0.2">
      <c r="B173" s="41">
        <f t="shared" si="6"/>
        <v>50617</v>
      </c>
      <c r="C173" s="4">
        <f t="shared" si="8"/>
        <v>157</v>
      </c>
      <c r="D173" s="32">
        <f t="shared" si="7"/>
        <v>0</v>
      </c>
      <c r="E173" s="32">
        <f>ROUND(Table157[[#This Row],[Beginning Balance]]*Table157[[#This Row],[Monthly Interest Rate]],2)</f>
        <v>0</v>
      </c>
      <c r="F173" s="32">
        <f t="shared" si="9"/>
        <v>99</v>
      </c>
      <c r="G173" s="45">
        <f>IFERROR(IF($C$13="No","N/A",IF(Table157[[#This Row],[Period]]=1,$C$6,PMT(InterestRate*AmortizationMultiplier/12,Table157[[#This Row],[Am Thru]],-Table157[[#This Row],[Beginning Balance]]))),0)</f>
        <v>0</v>
      </c>
      <c r="H173" s="32">
        <f>MAX(0,IF(C173=$C$4,D173,ROUND(IF($C$3="Fixed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3" s="32">
        <f>ROUND(Table157[[#This Row],[Defaulted Principal]]*IF($C$9="No",$E$4,VLOOKUP(Table157[[#This Row],[Period]],[1]Forecast!$H$2:$L$1048576,3,FALSE)),2)</f>
        <v>0</v>
      </c>
      <c r="L173" s="4">
        <f>Table157[[#This Row],[Period]]+$E$9</f>
        <v>169</v>
      </c>
      <c r="M173" s="32">
        <f>Table157[[#This Row],[Defaulted Principal]]-Table157[[#This Row],[Estimated Loss]]</f>
        <v>0</v>
      </c>
      <c r="N173" s="32">
        <f>IFERROR(VLOOKUP(Table157[[#This Row],[Period]],$L$16:$M$385,2,FALSE),0)</f>
        <v>0</v>
      </c>
      <c r="O173" s="32">
        <f>Table157[[#This Row],[Beginning Balance]]-Table157[[#This Row],[Principal]]-Table157[[#This Row],[Prepayments]]-Table157[[#This Row],[Defaulted Principal]]</f>
        <v>0</v>
      </c>
      <c r="P173" s="32">
        <f>Table157[[#This Row],[Principal]]+Table157[[#This Row],[Interest]]+Table157[[#This Row],[Prepayments]]+Table157[[#This Row],[RecoveredAmount]]</f>
        <v>0</v>
      </c>
      <c r="Q173" s="32">
        <f ca="1">ROUND(Table157[[#This Row],[Cash Flow]]/((1+ActualRateToUse)^(IF(ISNUMBER(SEARCH("Actual",$C$7)),Table157[[#This Row],[Running Total]]/365,Table157[[#This Row],[Period]]/12))),2)</f>
        <v>0</v>
      </c>
      <c r="R173" s="4">
        <f>IF(MONTH(Table157[[#This Row],[Date]])=2,28,DAY(DATE(YEAR(Table157[[#This Row],[Date]]),MONTH(Table157[[#This Row],[Date]])+1,1)-1))</f>
        <v>31</v>
      </c>
      <c r="S173" s="4">
        <f ca="1">SUM(OFFSET(Table157[[#Headers],[Days in month]],1,0):Table157[[#This Row],[Days in month]])</f>
        <v>4776</v>
      </c>
      <c r="T173" s="30">
        <f>InterestRate*AmortizationMultiplier*IF(ISNUMBER(SEARCH("Actual",$C$7)),Table157[[#This Row],[Days in month]]/365,1/12)</f>
        <v>2.9708333333333331E-3</v>
      </c>
    </row>
    <row r="174" spans="2:20" x14ac:dyDescent="0.2">
      <c r="B174" s="41">
        <f t="shared" si="6"/>
        <v>50648</v>
      </c>
      <c r="C174" s="4">
        <f t="shared" si="8"/>
        <v>158</v>
      </c>
      <c r="D174" s="32">
        <f t="shared" si="7"/>
        <v>0</v>
      </c>
      <c r="E174" s="32">
        <f>ROUND(Table157[[#This Row],[Beginning Balance]]*Table157[[#This Row],[Monthly Interest Rate]],2)</f>
        <v>0</v>
      </c>
      <c r="F174" s="32">
        <f t="shared" si="9"/>
        <v>98</v>
      </c>
      <c r="G174" s="45">
        <f>IFERROR(IF($C$13="No","N/A",IF(Table157[[#This Row],[Period]]=1,$C$6,PMT(InterestRate*AmortizationMultiplier/12,Table157[[#This Row],[Am Thru]],-Table157[[#This Row],[Beginning Balance]]))),0)</f>
        <v>0</v>
      </c>
      <c r="H174" s="32">
        <f>MAX(0,IF(C174=$C$4,D174,ROUND(IF($C$3="Fixed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4" s="32">
        <f>ROUND(Table157[[#This Row],[Defaulted Principal]]*IF($C$9="No",$E$4,VLOOKUP(Table157[[#This Row],[Period]],[1]Forecast!$H$2:$L$1048576,3,FALSE)),2)</f>
        <v>0</v>
      </c>
      <c r="L174" s="4">
        <f>Table157[[#This Row],[Period]]+$E$9</f>
        <v>170</v>
      </c>
      <c r="M174" s="32">
        <f>Table157[[#This Row],[Defaulted Principal]]-Table157[[#This Row],[Estimated Loss]]</f>
        <v>0</v>
      </c>
      <c r="N174" s="32">
        <f>IFERROR(VLOOKUP(Table157[[#This Row],[Period]],$L$16:$M$385,2,FALSE),0)</f>
        <v>0</v>
      </c>
      <c r="O174" s="32">
        <f>Table157[[#This Row],[Beginning Balance]]-Table157[[#This Row],[Principal]]-Table157[[#This Row],[Prepayments]]-Table157[[#This Row],[Defaulted Principal]]</f>
        <v>0</v>
      </c>
      <c r="P174" s="32">
        <f>Table157[[#This Row],[Principal]]+Table157[[#This Row],[Interest]]+Table157[[#This Row],[Prepayments]]+Table157[[#This Row],[RecoveredAmount]]</f>
        <v>0</v>
      </c>
      <c r="Q174" s="32">
        <f ca="1">ROUND(Table157[[#This Row],[Cash Flow]]/((1+ActualRateToUse)^(IF(ISNUMBER(SEARCH("Actual",$C$7)),Table157[[#This Row],[Running Total]]/365,Table157[[#This Row],[Period]]/12))),2)</f>
        <v>0</v>
      </c>
      <c r="R174" s="4">
        <f>IF(MONTH(Table157[[#This Row],[Date]])=2,28,DAY(DATE(YEAR(Table157[[#This Row],[Date]]),MONTH(Table157[[#This Row],[Date]])+1,1)-1))</f>
        <v>31</v>
      </c>
      <c r="S174" s="4">
        <f ca="1">SUM(OFFSET(Table157[[#Headers],[Days in month]],1,0):Table157[[#This Row],[Days in month]])</f>
        <v>4807</v>
      </c>
      <c r="T174" s="30">
        <f>InterestRate*AmortizationMultiplier*IF(ISNUMBER(SEARCH("Actual",$C$7)),Table157[[#This Row],[Days in month]]/365,1/12)</f>
        <v>2.9708333333333331E-3</v>
      </c>
    </row>
    <row r="175" spans="2:20" x14ac:dyDescent="0.2">
      <c r="B175" s="41">
        <f t="shared" si="6"/>
        <v>50678</v>
      </c>
      <c r="C175" s="4">
        <f t="shared" si="8"/>
        <v>159</v>
      </c>
      <c r="D175" s="32">
        <f t="shared" si="7"/>
        <v>0</v>
      </c>
      <c r="E175" s="32">
        <f>ROUND(Table157[[#This Row],[Beginning Balance]]*Table157[[#This Row],[Monthly Interest Rate]],2)</f>
        <v>0</v>
      </c>
      <c r="F175" s="32">
        <f t="shared" si="9"/>
        <v>97</v>
      </c>
      <c r="G175" s="45">
        <f>IFERROR(IF($C$13="No","N/A",IF(Table157[[#This Row],[Period]]=1,$C$6,PMT(InterestRate*AmortizationMultiplier/12,Table157[[#This Row],[Am Thru]],-Table157[[#This Row],[Beginning Balance]]))),0)</f>
        <v>0</v>
      </c>
      <c r="H175" s="32">
        <f>MAX(0,IF(C175=$C$4,D175,ROUND(IF($C$3="Fixed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5" s="32">
        <f>ROUND(Table157[[#This Row],[Defaulted Principal]]*IF($C$9="No",$E$4,VLOOKUP(Table157[[#This Row],[Period]],[1]Forecast!$H$2:$L$1048576,3,FALSE)),2)</f>
        <v>0</v>
      </c>
      <c r="L175" s="4">
        <f>Table157[[#This Row],[Period]]+$E$9</f>
        <v>171</v>
      </c>
      <c r="M175" s="32">
        <f>Table157[[#This Row],[Defaulted Principal]]-Table157[[#This Row],[Estimated Loss]]</f>
        <v>0</v>
      </c>
      <c r="N175" s="32">
        <f>IFERROR(VLOOKUP(Table157[[#This Row],[Period]],$L$16:$M$385,2,FALSE),0)</f>
        <v>0</v>
      </c>
      <c r="O175" s="32">
        <f>Table157[[#This Row],[Beginning Balance]]-Table157[[#This Row],[Principal]]-Table157[[#This Row],[Prepayments]]-Table157[[#This Row],[Defaulted Principal]]</f>
        <v>0</v>
      </c>
      <c r="P175" s="32">
        <f>Table157[[#This Row],[Principal]]+Table157[[#This Row],[Interest]]+Table157[[#This Row],[Prepayments]]+Table157[[#This Row],[RecoveredAmount]]</f>
        <v>0</v>
      </c>
      <c r="Q175" s="32">
        <f ca="1">ROUND(Table157[[#This Row],[Cash Flow]]/((1+ActualRateToUse)^(IF(ISNUMBER(SEARCH("Actual",$C$7)),Table157[[#This Row],[Running Total]]/365,Table157[[#This Row],[Period]]/12))),2)</f>
        <v>0</v>
      </c>
      <c r="R175" s="4">
        <f>IF(MONTH(Table157[[#This Row],[Date]])=2,28,DAY(DATE(YEAR(Table157[[#This Row],[Date]]),MONTH(Table157[[#This Row],[Date]])+1,1)-1))</f>
        <v>30</v>
      </c>
      <c r="S175" s="4">
        <f ca="1">SUM(OFFSET(Table157[[#Headers],[Days in month]],1,0):Table157[[#This Row],[Days in month]])</f>
        <v>4837</v>
      </c>
      <c r="T175" s="30">
        <f>InterestRate*AmortizationMultiplier*IF(ISNUMBER(SEARCH("Actual",$C$7)),Table157[[#This Row],[Days in month]]/365,1/12)</f>
        <v>2.8749999999999995E-3</v>
      </c>
    </row>
    <row r="176" spans="2:20" x14ac:dyDescent="0.2">
      <c r="B176" s="41">
        <f t="shared" si="6"/>
        <v>50709</v>
      </c>
      <c r="C176" s="4">
        <f t="shared" si="8"/>
        <v>160</v>
      </c>
      <c r="D176" s="32">
        <f t="shared" si="7"/>
        <v>0</v>
      </c>
      <c r="E176" s="32">
        <f>ROUND(Table157[[#This Row],[Beginning Balance]]*Table157[[#This Row],[Monthly Interest Rate]],2)</f>
        <v>0</v>
      </c>
      <c r="F176" s="32">
        <f t="shared" si="9"/>
        <v>96</v>
      </c>
      <c r="G176" s="45">
        <f>IFERROR(IF($C$13="No","N/A",IF(Table157[[#This Row],[Period]]=1,$C$6,PMT(InterestRate*AmortizationMultiplier/12,Table157[[#This Row],[Am Thru]],-Table157[[#This Row],[Beginning Balance]]))),0)</f>
        <v>0</v>
      </c>
      <c r="H176" s="32">
        <f>MAX(0,IF(C176=$C$4,D176,ROUND(IF($C$3="Fixed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6" s="32">
        <f>ROUND(Table157[[#This Row],[Defaulted Principal]]*IF($C$9="No",$E$4,VLOOKUP(Table157[[#This Row],[Period]],[1]Forecast!$H$2:$L$1048576,3,FALSE)),2)</f>
        <v>0</v>
      </c>
      <c r="L176" s="4">
        <f>Table157[[#This Row],[Period]]+$E$9</f>
        <v>172</v>
      </c>
      <c r="M176" s="32">
        <f>Table157[[#This Row],[Defaulted Principal]]-Table157[[#This Row],[Estimated Loss]]</f>
        <v>0</v>
      </c>
      <c r="N176" s="32">
        <f>IFERROR(VLOOKUP(Table157[[#This Row],[Period]],$L$16:$M$385,2,FALSE),0)</f>
        <v>0</v>
      </c>
      <c r="O176" s="32">
        <f>Table157[[#This Row],[Beginning Balance]]-Table157[[#This Row],[Principal]]-Table157[[#This Row],[Prepayments]]-Table157[[#This Row],[Defaulted Principal]]</f>
        <v>0</v>
      </c>
      <c r="P176" s="32">
        <f>Table157[[#This Row],[Principal]]+Table157[[#This Row],[Interest]]+Table157[[#This Row],[Prepayments]]+Table157[[#This Row],[RecoveredAmount]]</f>
        <v>0</v>
      </c>
      <c r="Q176" s="32">
        <f ca="1">ROUND(Table157[[#This Row],[Cash Flow]]/((1+ActualRateToUse)^(IF(ISNUMBER(SEARCH("Actual",$C$7)),Table157[[#This Row],[Running Total]]/365,Table157[[#This Row],[Period]]/12))),2)</f>
        <v>0</v>
      </c>
      <c r="R176" s="4">
        <f>IF(MONTH(Table157[[#This Row],[Date]])=2,28,DAY(DATE(YEAR(Table157[[#This Row],[Date]]),MONTH(Table157[[#This Row],[Date]])+1,1)-1))</f>
        <v>31</v>
      </c>
      <c r="S176" s="4">
        <f ca="1">SUM(OFFSET(Table157[[#Headers],[Days in month]],1,0):Table157[[#This Row],[Days in month]])</f>
        <v>4868</v>
      </c>
      <c r="T176" s="30">
        <f>InterestRate*AmortizationMultiplier*IF(ISNUMBER(SEARCH("Actual",$C$7)),Table157[[#This Row],[Days in month]]/365,1/12)</f>
        <v>2.9708333333333331E-3</v>
      </c>
    </row>
    <row r="177" spans="2:20" x14ac:dyDescent="0.2">
      <c r="B177" s="41">
        <f t="shared" si="6"/>
        <v>50739</v>
      </c>
      <c r="C177" s="4">
        <f t="shared" si="8"/>
        <v>161</v>
      </c>
      <c r="D177" s="32">
        <f t="shared" si="7"/>
        <v>0</v>
      </c>
      <c r="E177" s="32">
        <f>ROUND(Table157[[#This Row],[Beginning Balance]]*Table157[[#This Row],[Monthly Interest Rate]],2)</f>
        <v>0</v>
      </c>
      <c r="F177" s="32">
        <f t="shared" si="9"/>
        <v>95</v>
      </c>
      <c r="G177" s="45">
        <f>IFERROR(IF($C$13="No","N/A",IF(Table157[[#This Row],[Period]]=1,$C$6,PMT(InterestRate*AmortizationMultiplier/12,Table157[[#This Row],[Am Thru]],-Table157[[#This Row],[Beginning Balance]]))),0)</f>
        <v>0</v>
      </c>
      <c r="H177" s="32">
        <f>MAX(0,IF(C177=$C$4,D177,ROUND(IF($C$3="Fixed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7" s="32">
        <f>ROUND(Table157[[#This Row],[Defaulted Principal]]*IF($C$9="No",$E$4,VLOOKUP(Table157[[#This Row],[Period]],[1]Forecast!$H$2:$L$1048576,3,FALSE)),2)</f>
        <v>0</v>
      </c>
      <c r="L177" s="4">
        <f>Table157[[#This Row],[Period]]+$E$9</f>
        <v>173</v>
      </c>
      <c r="M177" s="32">
        <f>Table157[[#This Row],[Defaulted Principal]]-Table157[[#This Row],[Estimated Loss]]</f>
        <v>0</v>
      </c>
      <c r="N177" s="32">
        <f>IFERROR(VLOOKUP(Table157[[#This Row],[Period]],$L$16:$M$385,2,FALSE),0)</f>
        <v>0</v>
      </c>
      <c r="O177" s="32">
        <f>Table157[[#This Row],[Beginning Balance]]-Table157[[#This Row],[Principal]]-Table157[[#This Row],[Prepayments]]-Table157[[#This Row],[Defaulted Principal]]</f>
        <v>0</v>
      </c>
      <c r="P177" s="32">
        <f>Table157[[#This Row],[Principal]]+Table157[[#This Row],[Interest]]+Table157[[#This Row],[Prepayments]]+Table157[[#This Row],[RecoveredAmount]]</f>
        <v>0</v>
      </c>
      <c r="Q177" s="32">
        <f ca="1">ROUND(Table157[[#This Row],[Cash Flow]]/((1+ActualRateToUse)^(IF(ISNUMBER(SEARCH("Actual",$C$7)),Table157[[#This Row],[Running Total]]/365,Table157[[#This Row],[Period]]/12))),2)</f>
        <v>0</v>
      </c>
      <c r="R177" s="4">
        <f>IF(MONTH(Table157[[#This Row],[Date]])=2,28,DAY(DATE(YEAR(Table157[[#This Row],[Date]]),MONTH(Table157[[#This Row],[Date]])+1,1)-1))</f>
        <v>30</v>
      </c>
      <c r="S177" s="4">
        <f ca="1">SUM(OFFSET(Table157[[#Headers],[Days in month]],1,0):Table157[[#This Row],[Days in month]])</f>
        <v>4898</v>
      </c>
      <c r="T177" s="30">
        <f>InterestRate*AmortizationMultiplier*IF(ISNUMBER(SEARCH("Actual",$C$7)),Table157[[#This Row],[Days in month]]/365,1/12)</f>
        <v>2.8749999999999995E-3</v>
      </c>
    </row>
    <row r="178" spans="2:20" x14ac:dyDescent="0.2">
      <c r="B178" s="41">
        <f t="shared" si="6"/>
        <v>50770</v>
      </c>
      <c r="C178" s="4">
        <f t="shared" si="8"/>
        <v>162</v>
      </c>
      <c r="D178" s="32">
        <f t="shared" si="7"/>
        <v>0</v>
      </c>
      <c r="E178" s="32">
        <f>ROUND(Table157[[#This Row],[Beginning Balance]]*Table157[[#This Row],[Monthly Interest Rate]],2)</f>
        <v>0</v>
      </c>
      <c r="F178" s="32">
        <f t="shared" si="9"/>
        <v>94</v>
      </c>
      <c r="G178" s="45">
        <f>IFERROR(IF($C$13="No","N/A",IF(Table157[[#This Row],[Period]]=1,$C$6,PMT(InterestRate*AmortizationMultiplier/12,Table157[[#This Row],[Am Thru]],-Table157[[#This Row],[Beginning Balance]]))),0)</f>
        <v>0</v>
      </c>
      <c r="H178" s="32">
        <f>MAX(0,IF(C178=$C$4,D178,ROUND(IF($C$3="Fixed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8" s="32">
        <f>ROUND(Table157[[#This Row],[Defaulted Principal]]*IF($C$9="No",$E$4,VLOOKUP(Table157[[#This Row],[Period]],[1]Forecast!$H$2:$L$1048576,3,FALSE)),2)</f>
        <v>0</v>
      </c>
      <c r="L178" s="4">
        <f>Table157[[#This Row],[Period]]+$E$9</f>
        <v>174</v>
      </c>
      <c r="M178" s="32">
        <f>Table157[[#This Row],[Defaulted Principal]]-Table157[[#This Row],[Estimated Loss]]</f>
        <v>0</v>
      </c>
      <c r="N178" s="32">
        <f>IFERROR(VLOOKUP(Table157[[#This Row],[Period]],$L$16:$M$385,2,FALSE),0)</f>
        <v>0</v>
      </c>
      <c r="O178" s="32">
        <f>Table157[[#This Row],[Beginning Balance]]-Table157[[#This Row],[Principal]]-Table157[[#This Row],[Prepayments]]-Table157[[#This Row],[Defaulted Principal]]</f>
        <v>0</v>
      </c>
      <c r="P178" s="32">
        <f>Table157[[#This Row],[Principal]]+Table157[[#This Row],[Interest]]+Table157[[#This Row],[Prepayments]]+Table157[[#This Row],[RecoveredAmount]]</f>
        <v>0</v>
      </c>
      <c r="Q178" s="32">
        <f ca="1">ROUND(Table157[[#This Row],[Cash Flow]]/((1+ActualRateToUse)^(IF(ISNUMBER(SEARCH("Actual",$C$7)),Table157[[#This Row],[Running Total]]/365,Table157[[#This Row],[Period]]/12))),2)</f>
        <v>0</v>
      </c>
      <c r="R178" s="4">
        <f>IF(MONTH(Table157[[#This Row],[Date]])=2,28,DAY(DATE(YEAR(Table157[[#This Row],[Date]]),MONTH(Table157[[#This Row],[Date]])+1,1)-1))</f>
        <v>31</v>
      </c>
      <c r="S178" s="4">
        <f ca="1">SUM(OFFSET(Table157[[#Headers],[Days in month]],1,0):Table157[[#This Row],[Days in month]])</f>
        <v>4929</v>
      </c>
      <c r="T178" s="30">
        <f>InterestRate*AmortizationMultiplier*IF(ISNUMBER(SEARCH("Actual",$C$7)),Table157[[#This Row],[Days in month]]/365,1/12)</f>
        <v>2.9708333333333331E-3</v>
      </c>
    </row>
    <row r="179" spans="2:20" x14ac:dyDescent="0.2">
      <c r="B179" s="41">
        <f t="shared" si="6"/>
        <v>50801</v>
      </c>
      <c r="C179" s="4">
        <f t="shared" si="8"/>
        <v>163</v>
      </c>
      <c r="D179" s="32">
        <f t="shared" si="7"/>
        <v>0</v>
      </c>
      <c r="E179" s="32">
        <f>ROUND(Table157[[#This Row],[Beginning Balance]]*Table157[[#This Row],[Monthly Interest Rate]],2)</f>
        <v>0</v>
      </c>
      <c r="F179" s="32">
        <f t="shared" si="9"/>
        <v>93</v>
      </c>
      <c r="G179" s="45">
        <f>IFERROR(IF($C$13="No","N/A",IF(Table157[[#This Row],[Period]]=1,$C$6,PMT(InterestRate*AmortizationMultiplier/12,Table157[[#This Row],[Am Thru]],-Table157[[#This Row],[Beginning Balance]]))),0)</f>
        <v>0</v>
      </c>
      <c r="H179" s="32">
        <f>MAX(0,IF(C179=$C$4,D179,ROUND(IF($C$3="Fixed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7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7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79" s="32">
        <f>ROUND(Table157[[#This Row],[Defaulted Principal]]*IF($C$9="No",$E$4,VLOOKUP(Table157[[#This Row],[Period]],[1]Forecast!$H$2:$L$1048576,3,FALSE)),2)</f>
        <v>0</v>
      </c>
      <c r="L179" s="4">
        <f>Table157[[#This Row],[Period]]+$E$9</f>
        <v>175</v>
      </c>
      <c r="M179" s="32">
        <f>Table157[[#This Row],[Defaulted Principal]]-Table157[[#This Row],[Estimated Loss]]</f>
        <v>0</v>
      </c>
      <c r="N179" s="32">
        <f>IFERROR(VLOOKUP(Table157[[#This Row],[Period]],$L$16:$M$385,2,FALSE),0)</f>
        <v>0</v>
      </c>
      <c r="O179" s="32">
        <f>Table157[[#This Row],[Beginning Balance]]-Table157[[#This Row],[Principal]]-Table157[[#This Row],[Prepayments]]-Table157[[#This Row],[Defaulted Principal]]</f>
        <v>0</v>
      </c>
      <c r="P179" s="32">
        <f>Table157[[#This Row],[Principal]]+Table157[[#This Row],[Interest]]+Table157[[#This Row],[Prepayments]]+Table157[[#This Row],[RecoveredAmount]]</f>
        <v>0</v>
      </c>
      <c r="Q179" s="32">
        <f ca="1">ROUND(Table157[[#This Row],[Cash Flow]]/((1+ActualRateToUse)^(IF(ISNUMBER(SEARCH("Actual",$C$7)),Table157[[#This Row],[Running Total]]/365,Table157[[#This Row],[Period]]/12))),2)</f>
        <v>0</v>
      </c>
      <c r="R179" s="4">
        <f>IF(MONTH(Table157[[#This Row],[Date]])=2,28,DAY(DATE(YEAR(Table157[[#This Row],[Date]]),MONTH(Table157[[#This Row],[Date]])+1,1)-1))</f>
        <v>31</v>
      </c>
      <c r="S179" s="4">
        <f ca="1">SUM(OFFSET(Table157[[#Headers],[Days in month]],1,0):Table157[[#This Row],[Days in month]])</f>
        <v>4960</v>
      </c>
      <c r="T179" s="30">
        <f>InterestRate*AmortizationMultiplier*IF(ISNUMBER(SEARCH("Actual",$C$7)),Table157[[#This Row],[Days in month]]/365,1/12)</f>
        <v>2.9708333333333331E-3</v>
      </c>
    </row>
    <row r="180" spans="2:20" x14ac:dyDescent="0.2">
      <c r="B180" s="41">
        <f t="shared" si="6"/>
        <v>50829</v>
      </c>
      <c r="C180" s="4">
        <f t="shared" si="8"/>
        <v>164</v>
      </c>
      <c r="D180" s="32">
        <f t="shared" si="7"/>
        <v>0</v>
      </c>
      <c r="E180" s="32">
        <f>ROUND(Table157[[#This Row],[Beginning Balance]]*Table157[[#This Row],[Monthly Interest Rate]],2)</f>
        <v>0</v>
      </c>
      <c r="F180" s="32">
        <f t="shared" si="9"/>
        <v>92</v>
      </c>
      <c r="G180" s="45">
        <f>IFERROR(IF($C$13="No","N/A",IF(Table157[[#This Row],[Period]]=1,$C$6,PMT(InterestRate*AmortizationMultiplier/12,Table157[[#This Row],[Am Thru]],-Table157[[#This Row],[Beginning Balance]]))),0)</f>
        <v>0</v>
      </c>
      <c r="H180" s="32">
        <f>MAX(0,IF(C180=$C$4,D180,ROUND(IF($C$3="Fixed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0" s="32">
        <f>ROUND(Table157[[#This Row],[Defaulted Principal]]*IF($C$9="No",$E$4,VLOOKUP(Table157[[#This Row],[Period]],[1]Forecast!$H$2:$L$1048576,3,FALSE)),2)</f>
        <v>0</v>
      </c>
      <c r="L180" s="4">
        <f>Table157[[#This Row],[Period]]+$E$9</f>
        <v>176</v>
      </c>
      <c r="M180" s="32">
        <f>Table157[[#This Row],[Defaulted Principal]]-Table157[[#This Row],[Estimated Loss]]</f>
        <v>0</v>
      </c>
      <c r="N180" s="32">
        <f>IFERROR(VLOOKUP(Table157[[#This Row],[Period]],$L$16:$M$385,2,FALSE),0)</f>
        <v>0</v>
      </c>
      <c r="O180" s="32">
        <f>Table157[[#This Row],[Beginning Balance]]-Table157[[#This Row],[Principal]]-Table157[[#This Row],[Prepayments]]-Table157[[#This Row],[Defaulted Principal]]</f>
        <v>0</v>
      </c>
      <c r="P180" s="32">
        <f>Table157[[#This Row],[Principal]]+Table157[[#This Row],[Interest]]+Table157[[#This Row],[Prepayments]]+Table157[[#This Row],[RecoveredAmount]]</f>
        <v>0</v>
      </c>
      <c r="Q180" s="32">
        <f ca="1">ROUND(Table157[[#This Row],[Cash Flow]]/((1+ActualRateToUse)^(IF(ISNUMBER(SEARCH("Actual",$C$7)),Table157[[#This Row],[Running Total]]/365,Table157[[#This Row],[Period]]/12))),2)</f>
        <v>0</v>
      </c>
      <c r="R180" s="4">
        <f>IF(MONTH(Table157[[#This Row],[Date]])=2,28,DAY(DATE(YEAR(Table157[[#This Row],[Date]]),MONTH(Table157[[#This Row],[Date]])+1,1)-1))</f>
        <v>28</v>
      </c>
      <c r="S180" s="4">
        <f ca="1">SUM(OFFSET(Table157[[#Headers],[Days in month]],1,0):Table157[[#This Row],[Days in month]])</f>
        <v>4988</v>
      </c>
      <c r="T180" s="30">
        <f>InterestRate*AmortizationMultiplier*IF(ISNUMBER(SEARCH("Actual",$C$7)),Table157[[#This Row],[Days in month]]/365,1/12)</f>
        <v>2.6833333333333336E-3</v>
      </c>
    </row>
    <row r="181" spans="2:20" x14ac:dyDescent="0.2">
      <c r="B181" s="41">
        <f t="shared" si="6"/>
        <v>50860</v>
      </c>
      <c r="C181" s="4">
        <f t="shared" si="8"/>
        <v>165</v>
      </c>
      <c r="D181" s="32">
        <f t="shared" si="7"/>
        <v>0</v>
      </c>
      <c r="E181" s="32">
        <f>ROUND(Table157[[#This Row],[Beginning Balance]]*Table157[[#This Row],[Monthly Interest Rate]],2)</f>
        <v>0</v>
      </c>
      <c r="F181" s="32">
        <f t="shared" si="9"/>
        <v>91</v>
      </c>
      <c r="G181" s="45">
        <f>IFERROR(IF($C$13="No","N/A",IF(Table157[[#This Row],[Period]]=1,$C$6,PMT(InterestRate*AmortizationMultiplier/12,Table157[[#This Row],[Am Thru]],-Table157[[#This Row],[Beginning Balance]]))),0)</f>
        <v>0</v>
      </c>
      <c r="H181" s="32">
        <f>MAX(0,IF(C181=$C$4,D181,ROUND(IF($C$3="Fixed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1" s="32">
        <f>ROUND(Table157[[#This Row],[Defaulted Principal]]*IF($C$9="No",$E$4,VLOOKUP(Table157[[#This Row],[Period]],[1]Forecast!$H$2:$L$1048576,3,FALSE)),2)</f>
        <v>0</v>
      </c>
      <c r="L181" s="4">
        <f>Table157[[#This Row],[Period]]+$E$9</f>
        <v>177</v>
      </c>
      <c r="M181" s="32">
        <f>Table157[[#This Row],[Defaulted Principal]]-Table157[[#This Row],[Estimated Loss]]</f>
        <v>0</v>
      </c>
      <c r="N181" s="32">
        <f>IFERROR(VLOOKUP(Table157[[#This Row],[Period]],$L$16:$M$385,2,FALSE),0)</f>
        <v>0</v>
      </c>
      <c r="O181" s="32">
        <f>Table157[[#This Row],[Beginning Balance]]-Table157[[#This Row],[Principal]]-Table157[[#This Row],[Prepayments]]-Table157[[#This Row],[Defaulted Principal]]</f>
        <v>0</v>
      </c>
      <c r="P181" s="32">
        <f>Table157[[#This Row],[Principal]]+Table157[[#This Row],[Interest]]+Table157[[#This Row],[Prepayments]]+Table157[[#This Row],[RecoveredAmount]]</f>
        <v>0</v>
      </c>
      <c r="Q181" s="32">
        <f ca="1">ROUND(Table157[[#This Row],[Cash Flow]]/((1+ActualRateToUse)^(IF(ISNUMBER(SEARCH("Actual",$C$7)),Table157[[#This Row],[Running Total]]/365,Table157[[#This Row],[Period]]/12))),2)</f>
        <v>0</v>
      </c>
      <c r="R181" s="4">
        <f>IF(MONTH(Table157[[#This Row],[Date]])=2,28,DAY(DATE(YEAR(Table157[[#This Row],[Date]]),MONTH(Table157[[#This Row],[Date]])+1,1)-1))</f>
        <v>31</v>
      </c>
      <c r="S181" s="4">
        <f ca="1">SUM(OFFSET(Table157[[#Headers],[Days in month]],1,0):Table157[[#This Row],[Days in month]])</f>
        <v>5019</v>
      </c>
      <c r="T181" s="30">
        <f>InterestRate*AmortizationMultiplier*IF(ISNUMBER(SEARCH("Actual",$C$7)),Table157[[#This Row],[Days in month]]/365,1/12)</f>
        <v>2.9708333333333331E-3</v>
      </c>
    </row>
    <row r="182" spans="2:20" x14ac:dyDescent="0.2">
      <c r="B182" s="41">
        <f t="shared" si="6"/>
        <v>50890</v>
      </c>
      <c r="C182" s="4">
        <f t="shared" si="8"/>
        <v>166</v>
      </c>
      <c r="D182" s="32">
        <f t="shared" si="7"/>
        <v>0</v>
      </c>
      <c r="E182" s="32">
        <f>ROUND(Table157[[#This Row],[Beginning Balance]]*Table157[[#This Row],[Monthly Interest Rate]],2)</f>
        <v>0</v>
      </c>
      <c r="F182" s="32">
        <f t="shared" si="9"/>
        <v>90</v>
      </c>
      <c r="G182" s="45">
        <f>IFERROR(IF($C$13="No","N/A",IF(Table157[[#This Row],[Period]]=1,$C$6,PMT(InterestRate*AmortizationMultiplier/12,Table157[[#This Row],[Am Thru]],-Table157[[#This Row],[Beginning Balance]]))),0)</f>
        <v>0</v>
      </c>
      <c r="H182" s="32">
        <f>MAX(0,IF(C182=$C$4,D182,ROUND(IF($C$3="Fixed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2" s="32">
        <f>ROUND(Table157[[#This Row],[Defaulted Principal]]*IF($C$9="No",$E$4,VLOOKUP(Table157[[#This Row],[Period]],[1]Forecast!$H$2:$L$1048576,3,FALSE)),2)</f>
        <v>0</v>
      </c>
      <c r="L182" s="4">
        <f>Table157[[#This Row],[Period]]+$E$9</f>
        <v>178</v>
      </c>
      <c r="M182" s="32">
        <f>Table157[[#This Row],[Defaulted Principal]]-Table157[[#This Row],[Estimated Loss]]</f>
        <v>0</v>
      </c>
      <c r="N182" s="32">
        <f>IFERROR(VLOOKUP(Table157[[#This Row],[Period]],$L$16:$M$385,2,FALSE),0)</f>
        <v>0</v>
      </c>
      <c r="O182" s="32">
        <f>Table157[[#This Row],[Beginning Balance]]-Table157[[#This Row],[Principal]]-Table157[[#This Row],[Prepayments]]-Table157[[#This Row],[Defaulted Principal]]</f>
        <v>0</v>
      </c>
      <c r="P182" s="32">
        <f>Table157[[#This Row],[Principal]]+Table157[[#This Row],[Interest]]+Table157[[#This Row],[Prepayments]]+Table157[[#This Row],[RecoveredAmount]]</f>
        <v>0</v>
      </c>
      <c r="Q182" s="32">
        <f ca="1">ROUND(Table157[[#This Row],[Cash Flow]]/((1+ActualRateToUse)^(IF(ISNUMBER(SEARCH("Actual",$C$7)),Table157[[#This Row],[Running Total]]/365,Table157[[#This Row],[Period]]/12))),2)</f>
        <v>0</v>
      </c>
      <c r="R182" s="4">
        <f>IF(MONTH(Table157[[#This Row],[Date]])=2,28,DAY(DATE(YEAR(Table157[[#This Row],[Date]]),MONTH(Table157[[#This Row],[Date]])+1,1)-1))</f>
        <v>30</v>
      </c>
      <c r="S182" s="4">
        <f ca="1">SUM(OFFSET(Table157[[#Headers],[Days in month]],1,0):Table157[[#This Row],[Days in month]])</f>
        <v>5049</v>
      </c>
      <c r="T182" s="30">
        <f>InterestRate*AmortizationMultiplier*IF(ISNUMBER(SEARCH("Actual",$C$7)),Table157[[#This Row],[Days in month]]/365,1/12)</f>
        <v>2.8749999999999995E-3</v>
      </c>
    </row>
    <row r="183" spans="2:20" x14ac:dyDescent="0.2">
      <c r="B183" s="41">
        <f t="shared" si="6"/>
        <v>50921</v>
      </c>
      <c r="C183" s="4">
        <f t="shared" si="8"/>
        <v>167</v>
      </c>
      <c r="D183" s="32">
        <f t="shared" si="7"/>
        <v>0</v>
      </c>
      <c r="E183" s="32">
        <f>ROUND(Table157[[#This Row],[Beginning Balance]]*Table157[[#This Row],[Monthly Interest Rate]],2)</f>
        <v>0</v>
      </c>
      <c r="F183" s="32">
        <f t="shared" si="9"/>
        <v>89</v>
      </c>
      <c r="G183" s="45">
        <f>IFERROR(IF($C$13="No","N/A",IF(Table157[[#This Row],[Period]]=1,$C$6,PMT(InterestRate*AmortizationMultiplier/12,Table157[[#This Row],[Am Thru]],-Table157[[#This Row],[Beginning Balance]]))),0)</f>
        <v>0</v>
      </c>
      <c r="H183" s="32">
        <f>MAX(0,IF(C183=$C$4,D183,ROUND(IF($C$3="Fixed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3" s="32">
        <f>ROUND(Table157[[#This Row],[Defaulted Principal]]*IF($C$9="No",$E$4,VLOOKUP(Table157[[#This Row],[Period]],[1]Forecast!$H$2:$L$1048576,3,FALSE)),2)</f>
        <v>0</v>
      </c>
      <c r="L183" s="4">
        <f>Table157[[#This Row],[Period]]+$E$9</f>
        <v>179</v>
      </c>
      <c r="M183" s="32">
        <f>Table157[[#This Row],[Defaulted Principal]]-Table157[[#This Row],[Estimated Loss]]</f>
        <v>0</v>
      </c>
      <c r="N183" s="32">
        <f>IFERROR(VLOOKUP(Table157[[#This Row],[Period]],$L$16:$M$385,2,FALSE),0)</f>
        <v>0</v>
      </c>
      <c r="O183" s="32">
        <f>Table157[[#This Row],[Beginning Balance]]-Table157[[#This Row],[Principal]]-Table157[[#This Row],[Prepayments]]-Table157[[#This Row],[Defaulted Principal]]</f>
        <v>0</v>
      </c>
      <c r="P183" s="32">
        <f>Table157[[#This Row],[Principal]]+Table157[[#This Row],[Interest]]+Table157[[#This Row],[Prepayments]]+Table157[[#This Row],[RecoveredAmount]]</f>
        <v>0</v>
      </c>
      <c r="Q183" s="32">
        <f ca="1">ROUND(Table157[[#This Row],[Cash Flow]]/((1+ActualRateToUse)^(IF(ISNUMBER(SEARCH("Actual",$C$7)),Table157[[#This Row],[Running Total]]/365,Table157[[#This Row],[Period]]/12))),2)</f>
        <v>0</v>
      </c>
      <c r="R183" s="4">
        <f>IF(MONTH(Table157[[#This Row],[Date]])=2,28,DAY(DATE(YEAR(Table157[[#This Row],[Date]]),MONTH(Table157[[#This Row],[Date]])+1,1)-1))</f>
        <v>31</v>
      </c>
      <c r="S183" s="4">
        <f ca="1">SUM(OFFSET(Table157[[#Headers],[Days in month]],1,0):Table157[[#This Row],[Days in month]])</f>
        <v>5080</v>
      </c>
      <c r="T183" s="30">
        <f>InterestRate*AmortizationMultiplier*IF(ISNUMBER(SEARCH("Actual",$C$7)),Table157[[#This Row],[Days in month]]/365,1/12)</f>
        <v>2.9708333333333331E-3</v>
      </c>
    </row>
    <row r="184" spans="2:20" x14ac:dyDescent="0.2">
      <c r="B184" s="41">
        <f t="shared" si="6"/>
        <v>50951</v>
      </c>
      <c r="C184" s="4">
        <f t="shared" si="8"/>
        <v>168</v>
      </c>
      <c r="D184" s="32">
        <f t="shared" si="7"/>
        <v>0</v>
      </c>
      <c r="E184" s="32">
        <f>ROUND(Table157[[#This Row],[Beginning Balance]]*Table157[[#This Row],[Monthly Interest Rate]],2)</f>
        <v>0</v>
      </c>
      <c r="F184" s="32">
        <f t="shared" si="9"/>
        <v>88</v>
      </c>
      <c r="G184" s="45">
        <f>IFERROR(IF($C$13="No","N/A",IF(Table157[[#This Row],[Period]]=1,$C$6,PMT(InterestRate*AmortizationMultiplier/12,Table157[[#This Row],[Am Thru]],-Table157[[#This Row],[Beginning Balance]]))),0)</f>
        <v>0</v>
      </c>
      <c r="H184" s="32">
        <f>MAX(0,IF(C184=$C$4,D184,ROUND(IF($C$3="Fixed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4" s="32">
        <f>ROUND(Table157[[#This Row],[Defaulted Principal]]*IF($C$9="No",$E$4,VLOOKUP(Table157[[#This Row],[Period]],[1]Forecast!$H$2:$L$1048576,3,FALSE)),2)</f>
        <v>0</v>
      </c>
      <c r="L184" s="4">
        <f>Table157[[#This Row],[Period]]+$E$9</f>
        <v>180</v>
      </c>
      <c r="M184" s="32">
        <f>Table157[[#This Row],[Defaulted Principal]]-Table157[[#This Row],[Estimated Loss]]</f>
        <v>0</v>
      </c>
      <c r="N184" s="32">
        <f>IFERROR(VLOOKUP(Table157[[#This Row],[Period]],$L$16:$M$385,2,FALSE),0)</f>
        <v>0</v>
      </c>
      <c r="O184" s="32">
        <f>Table157[[#This Row],[Beginning Balance]]-Table157[[#This Row],[Principal]]-Table157[[#This Row],[Prepayments]]-Table157[[#This Row],[Defaulted Principal]]</f>
        <v>0</v>
      </c>
      <c r="P184" s="32">
        <f>Table157[[#This Row],[Principal]]+Table157[[#This Row],[Interest]]+Table157[[#This Row],[Prepayments]]+Table157[[#This Row],[RecoveredAmount]]</f>
        <v>0</v>
      </c>
      <c r="Q184" s="32">
        <f ca="1">ROUND(Table157[[#This Row],[Cash Flow]]/((1+ActualRateToUse)^(IF(ISNUMBER(SEARCH("Actual",$C$7)),Table157[[#This Row],[Running Total]]/365,Table157[[#This Row],[Period]]/12))),2)</f>
        <v>0</v>
      </c>
      <c r="R184" s="4">
        <f>IF(MONTH(Table157[[#This Row],[Date]])=2,28,DAY(DATE(YEAR(Table157[[#This Row],[Date]]),MONTH(Table157[[#This Row],[Date]])+1,1)-1))</f>
        <v>30</v>
      </c>
      <c r="S184" s="4">
        <f ca="1">SUM(OFFSET(Table157[[#Headers],[Days in month]],1,0):Table157[[#This Row],[Days in month]])</f>
        <v>5110</v>
      </c>
      <c r="T184" s="30">
        <f>InterestRate*AmortizationMultiplier*IF(ISNUMBER(SEARCH("Actual",$C$7)),Table157[[#This Row],[Days in month]]/365,1/12)</f>
        <v>2.8749999999999995E-3</v>
      </c>
    </row>
    <row r="185" spans="2:20" x14ac:dyDescent="0.2">
      <c r="B185" s="41">
        <f t="shared" si="6"/>
        <v>50982</v>
      </c>
      <c r="C185" s="4">
        <f t="shared" si="8"/>
        <v>169</v>
      </c>
      <c r="D185" s="32">
        <f t="shared" si="7"/>
        <v>0</v>
      </c>
      <c r="E185" s="32">
        <f>ROUND(Table157[[#This Row],[Beginning Balance]]*Table157[[#This Row],[Monthly Interest Rate]],2)</f>
        <v>0</v>
      </c>
      <c r="F185" s="32">
        <f t="shared" si="9"/>
        <v>87</v>
      </c>
      <c r="G185" s="45">
        <f>IFERROR(IF($C$13="No","N/A",IF(Table157[[#This Row],[Period]]=1,$C$6,PMT(InterestRate*AmortizationMultiplier/12,Table157[[#This Row],[Am Thru]],-Table157[[#This Row],[Beginning Balance]]))),0)</f>
        <v>0</v>
      </c>
      <c r="H185" s="32">
        <f>MAX(0,IF(C185=$C$4,D185,ROUND(IF($C$3="Fixed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5" s="32">
        <f>ROUND(Table157[[#This Row],[Defaulted Principal]]*IF($C$9="No",$E$4,VLOOKUP(Table157[[#This Row],[Period]],[1]Forecast!$H$2:$L$1048576,3,FALSE)),2)</f>
        <v>0</v>
      </c>
      <c r="L185" s="4">
        <f>Table157[[#This Row],[Period]]+$E$9</f>
        <v>181</v>
      </c>
      <c r="M185" s="32">
        <f>Table157[[#This Row],[Defaulted Principal]]-Table157[[#This Row],[Estimated Loss]]</f>
        <v>0</v>
      </c>
      <c r="N185" s="32">
        <f>IFERROR(VLOOKUP(Table157[[#This Row],[Period]],$L$16:$M$385,2,FALSE),0)</f>
        <v>0</v>
      </c>
      <c r="O185" s="32">
        <f>Table157[[#This Row],[Beginning Balance]]-Table157[[#This Row],[Principal]]-Table157[[#This Row],[Prepayments]]-Table157[[#This Row],[Defaulted Principal]]</f>
        <v>0</v>
      </c>
      <c r="P185" s="32">
        <f>Table157[[#This Row],[Principal]]+Table157[[#This Row],[Interest]]+Table157[[#This Row],[Prepayments]]+Table157[[#This Row],[RecoveredAmount]]</f>
        <v>0</v>
      </c>
      <c r="Q185" s="32">
        <f ca="1">ROUND(Table157[[#This Row],[Cash Flow]]/((1+ActualRateToUse)^(IF(ISNUMBER(SEARCH("Actual",$C$7)),Table157[[#This Row],[Running Total]]/365,Table157[[#This Row],[Period]]/12))),2)</f>
        <v>0</v>
      </c>
      <c r="R185" s="4">
        <f>IF(MONTH(Table157[[#This Row],[Date]])=2,28,DAY(DATE(YEAR(Table157[[#This Row],[Date]]),MONTH(Table157[[#This Row],[Date]])+1,1)-1))</f>
        <v>31</v>
      </c>
      <c r="S185" s="4">
        <f ca="1">SUM(OFFSET(Table157[[#Headers],[Days in month]],1,0):Table157[[#This Row],[Days in month]])</f>
        <v>5141</v>
      </c>
      <c r="T185" s="30">
        <f>InterestRate*AmortizationMultiplier*IF(ISNUMBER(SEARCH("Actual",$C$7)),Table157[[#This Row],[Days in month]]/365,1/12)</f>
        <v>2.9708333333333331E-3</v>
      </c>
    </row>
    <row r="186" spans="2:20" x14ac:dyDescent="0.2">
      <c r="B186" s="41">
        <f t="shared" si="6"/>
        <v>51013</v>
      </c>
      <c r="C186" s="4">
        <f t="shared" si="8"/>
        <v>170</v>
      </c>
      <c r="D186" s="32">
        <f t="shared" si="7"/>
        <v>0</v>
      </c>
      <c r="E186" s="32">
        <f>ROUND(Table157[[#This Row],[Beginning Balance]]*Table157[[#This Row],[Monthly Interest Rate]],2)</f>
        <v>0</v>
      </c>
      <c r="F186" s="32">
        <f t="shared" si="9"/>
        <v>86</v>
      </c>
      <c r="G186" s="45">
        <f>IFERROR(IF($C$13="No","N/A",IF(Table157[[#This Row],[Period]]=1,$C$6,PMT(InterestRate*AmortizationMultiplier/12,Table157[[#This Row],[Am Thru]],-Table157[[#This Row],[Beginning Balance]]))),0)</f>
        <v>0</v>
      </c>
      <c r="H186" s="32">
        <f>MAX(0,IF(C186=$C$4,D186,ROUND(IF($C$3="Fixed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6" s="32">
        <f>ROUND(Table157[[#This Row],[Defaulted Principal]]*IF($C$9="No",$E$4,VLOOKUP(Table157[[#This Row],[Period]],[1]Forecast!$H$2:$L$1048576,3,FALSE)),2)</f>
        <v>0</v>
      </c>
      <c r="L186" s="4">
        <f>Table157[[#This Row],[Period]]+$E$9</f>
        <v>182</v>
      </c>
      <c r="M186" s="32">
        <f>Table157[[#This Row],[Defaulted Principal]]-Table157[[#This Row],[Estimated Loss]]</f>
        <v>0</v>
      </c>
      <c r="N186" s="32">
        <f>IFERROR(VLOOKUP(Table157[[#This Row],[Period]],$L$16:$M$385,2,FALSE),0)</f>
        <v>0</v>
      </c>
      <c r="O186" s="32">
        <f>Table157[[#This Row],[Beginning Balance]]-Table157[[#This Row],[Principal]]-Table157[[#This Row],[Prepayments]]-Table157[[#This Row],[Defaulted Principal]]</f>
        <v>0</v>
      </c>
      <c r="P186" s="32">
        <f>Table157[[#This Row],[Principal]]+Table157[[#This Row],[Interest]]+Table157[[#This Row],[Prepayments]]+Table157[[#This Row],[RecoveredAmount]]</f>
        <v>0</v>
      </c>
      <c r="Q186" s="32">
        <f ca="1">ROUND(Table157[[#This Row],[Cash Flow]]/((1+ActualRateToUse)^(IF(ISNUMBER(SEARCH("Actual",$C$7)),Table157[[#This Row],[Running Total]]/365,Table157[[#This Row],[Period]]/12))),2)</f>
        <v>0</v>
      </c>
      <c r="R186" s="4">
        <f>IF(MONTH(Table157[[#This Row],[Date]])=2,28,DAY(DATE(YEAR(Table157[[#This Row],[Date]]),MONTH(Table157[[#This Row],[Date]])+1,1)-1))</f>
        <v>31</v>
      </c>
      <c r="S186" s="4">
        <f ca="1">SUM(OFFSET(Table157[[#Headers],[Days in month]],1,0):Table157[[#This Row],[Days in month]])</f>
        <v>5172</v>
      </c>
      <c r="T186" s="30">
        <f>InterestRate*AmortizationMultiplier*IF(ISNUMBER(SEARCH("Actual",$C$7)),Table157[[#This Row],[Days in month]]/365,1/12)</f>
        <v>2.9708333333333331E-3</v>
      </c>
    </row>
    <row r="187" spans="2:20" x14ac:dyDescent="0.2">
      <c r="B187" s="41">
        <f t="shared" si="6"/>
        <v>51043</v>
      </c>
      <c r="C187" s="4">
        <f t="shared" si="8"/>
        <v>171</v>
      </c>
      <c r="D187" s="32">
        <f t="shared" si="7"/>
        <v>0</v>
      </c>
      <c r="E187" s="32">
        <f>ROUND(Table157[[#This Row],[Beginning Balance]]*Table157[[#This Row],[Monthly Interest Rate]],2)</f>
        <v>0</v>
      </c>
      <c r="F187" s="32">
        <f t="shared" si="9"/>
        <v>85</v>
      </c>
      <c r="G187" s="45">
        <f>IFERROR(IF($C$13="No","N/A",IF(Table157[[#This Row],[Period]]=1,$C$6,PMT(InterestRate*AmortizationMultiplier/12,Table157[[#This Row],[Am Thru]],-Table157[[#This Row],[Beginning Balance]]))),0)</f>
        <v>0</v>
      </c>
      <c r="H187" s="32">
        <f>MAX(0,IF(C187=$C$4,D187,ROUND(IF($C$3="Fixed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7" s="32">
        <f>ROUND(Table157[[#This Row],[Defaulted Principal]]*IF($C$9="No",$E$4,VLOOKUP(Table157[[#This Row],[Period]],[1]Forecast!$H$2:$L$1048576,3,FALSE)),2)</f>
        <v>0</v>
      </c>
      <c r="L187" s="4">
        <f>Table157[[#This Row],[Period]]+$E$9</f>
        <v>183</v>
      </c>
      <c r="M187" s="32">
        <f>Table157[[#This Row],[Defaulted Principal]]-Table157[[#This Row],[Estimated Loss]]</f>
        <v>0</v>
      </c>
      <c r="N187" s="32">
        <f>IFERROR(VLOOKUP(Table157[[#This Row],[Period]],$L$16:$M$385,2,FALSE),0)</f>
        <v>0</v>
      </c>
      <c r="O187" s="32">
        <f>Table157[[#This Row],[Beginning Balance]]-Table157[[#This Row],[Principal]]-Table157[[#This Row],[Prepayments]]-Table157[[#This Row],[Defaulted Principal]]</f>
        <v>0</v>
      </c>
      <c r="P187" s="32">
        <f>Table157[[#This Row],[Principal]]+Table157[[#This Row],[Interest]]+Table157[[#This Row],[Prepayments]]+Table157[[#This Row],[RecoveredAmount]]</f>
        <v>0</v>
      </c>
      <c r="Q187" s="32">
        <f ca="1">ROUND(Table157[[#This Row],[Cash Flow]]/((1+ActualRateToUse)^(IF(ISNUMBER(SEARCH("Actual",$C$7)),Table157[[#This Row],[Running Total]]/365,Table157[[#This Row],[Period]]/12))),2)</f>
        <v>0</v>
      </c>
      <c r="R187" s="4">
        <f>IF(MONTH(Table157[[#This Row],[Date]])=2,28,DAY(DATE(YEAR(Table157[[#This Row],[Date]]),MONTH(Table157[[#This Row],[Date]])+1,1)-1))</f>
        <v>30</v>
      </c>
      <c r="S187" s="4">
        <f ca="1">SUM(OFFSET(Table157[[#Headers],[Days in month]],1,0):Table157[[#This Row],[Days in month]])</f>
        <v>5202</v>
      </c>
      <c r="T187" s="30">
        <f>InterestRate*AmortizationMultiplier*IF(ISNUMBER(SEARCH("Actual",$C$7)),Table157[[#This Row],[Days in month]]/365,1/12)</f>
        <v>2.8749999999999995E-3</v>
      </c>
    </row>
    <row r="188" spans="2:20" x14ac:dyDescent="0.2">
      <c r="B188" s="41">
        <f t="shared" si="6"/>
        <v>51074</v>
      </c>
      <c r="C188" s="4">
        <f t="shared" si="8"/>
        <v>172</v>
      </c>
      <c r="D188" s="32">
        <f t="shared" si="7"/>
        <v>0</v>
      </c>
      <c r="E188" s="32">
        <f>ROUND(Table157[[#This Row],[Beginning Balance]]*Table157[[#This Row],[Monthly Interest Rate]],2)</f>
        <v>0</v>
      </c>
      <c r="F188" s="32">
        <f t="shared" si="9"/>
        <v>84</v>
      </c>
      <c r="G188" s="45">
        <f>IFERROR(IF($C$13="No","N/A",IF(Table157[[#This Row],[Period]]=1,$C$6,PMT(InterestRate*AmortizationMultiplier/12,Table157[[#This Row],[Am Thru]],-Table157[[#This Row],[Beginning Balance]]))),0)</f>
        <v>0</v>
      </c>
      <c r="H188" s="32">
        <f>MAX(0,IF(C188=$C$4,D188,ROUND(IF($C$3="Fixed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8" s="32">
        <f>ROUND(Table157[[#This Row],[Defaulted Principal]]*IF($C$9="No",$E$4,VLOOKUP(Table157[[#This Row],[Period]],[1]Forecast!$H$2:$L$1048576,3,FALSE)),2)</f>
        <v>0</v>
      </c>
      <c r="L188" s="4">
        <f>Table157[[#This Row],[Period]]+$E$9</f>
        <v>184</v>
      </c>
      <c r="M188" s="32">
        <f>Table157[[#This Row],[Defaulted Principal]]-Table157[[#This Row],[Estimated Loss]]</f>
        <v>0</v>
      </c>
      <c r="N188" s="32">
        <f>IFERROR(VLOOKUP(Table157[[#This Row],[Period]],$L$16:$M$385,2,FALSE),0)</f>
        <v>0</v>
      </c>
      <c r="O188" s="32">
        <f>Table157[[#This Row],[Beginning Balance]]-Table157[[#This Row],[Principal]]-Table157[[#This Row],[Prepayments]]-Table157[[#This Row],[Defaulted Principal]]</f>
        <v>0</v>
      </c>
      <c r="P188" s="32">
        <f>Table157[[#This Row],[Principal]]+Table157[[#This Row],[Interest]]+Table157[[#This Row],[Prepayments]]+Table157[[#This Row],[RecoveredAmount]]</f>
        <v>0</v>
      </c>
      <c r="Q188" s="32">
        <f ca="1">ROUND(Table157[[#This Row],[Cash Flow]]/((1+ActualRateToUse)^(IF(ISNUMBER(SEARCH("Actual",$C$7)),Table157[[#This Row],[Running Total]]/365,Table157[[#This Row],[Period]]/12))),2)</f>
        <v>0</v>
      </c>
      <c r="R188" s="4">
        <f>IF(MONTH(Table157[[#This Row],[Date]])=2,28,DAY(DATE(YEAR(Table157[[#This Row],[Date]]),MONTH(Table157[[#This Row],[Date]])+1,1)-1))</f>
        <v>31</v>
      </c>
      <c r="S188" s="4">
        <f ca="1">SUM(OFFSET(Table157[[#Headers],[Days in month]],1,0):Table157[[#This Row],[Days in month]])</f>
        <v>5233</v>
      </c>
      <c r="T188" s="30">
        <f>InterestRate*AmortizationMultiplier*IF(ISNUMBER(SEARCH("Actual",$C$7)),Table157[[#This Row],[Days in month]]/365,1/12)</f>
        <v>2.9708333333333331E-3</v>
      </c>
    </row>
    <row r="189" spans="2:20" x14ac:dyDescent="0.2">
      <c r="B189" s="41">
        <f t="shared" si="6"/>
        <v>51104</v>
      </c>
      <c r="C189" s="4">
        <f t="shared" si="8"/>
        <v>173</v>
      </c>
      <c r="D189" s="32">
        <f t="shared" si="7"/>
        <v>0</v>
      </c>
      <c r="E189" s="32">
        <f>ROUND(Table157[[#This Row],[Beginning Balance]]*Table157[[#This Row],[Monthly Interest Rate]],2)</f>
        <v>0</v>
      </c>
      <c r="F189" s="32">
        <f t="shared" si="9"/>
        <v>83</v>
      </c>
      <c r="G189" s="45">
        <f>IFERROR(IF($C$13="No","N/A",IF(Table157[[#This Row],[Period]]=1,$C$6,PMT(InterestRate*AmortizationMultiplier/12,Table157[[#This Row],[Am Thru]],-Table157[[#This Row],[Beginning Balance]]))),0)</f>
        <v>0</v>
      </c>
      <c r="H189" s="32">
        <f>MAX(0,IF(C189=$C$4,D189,ROUND(IF($C$3="Fixed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8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8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89" s="32">
        <f>ROUND(Table157[[#This Row],[Defaulted Principal]]*IF($C$9="No",$E$4,VLOOKUP(Table157[[#This Row],[Period]],[1]Forecast!$H$2:$L$1048576,3,FALSE)),2)</f>
        <v>0</v>
      </c>
      <c r="L189" s="4">
        <f>Table157[[#This Row],[Period]]+$E$9</f>
        <v>185</v>
      </c>
      <c r="M189" s="32">
        <f>Table157[[#This Row],[Defaulted Principal]]-Table157[[#This Row],[Estimated Loss]]</f>
        <v>0</v>
      </c>
      <c r="N189" s="32">
        <f>IFERROR(VLOOKUP(Table157[[#This Row],[Period]],$L$16:$M$385,2,FALSE),0)</f>
        <v>0</v>
      </c>
      <c r="O189" s="32">
        <f>Table157[[#This Row],[Beginning Balance]]-Table157[[#This Row],[Principal]]-Table157[[#This Row],[Prepayments]]-Table157[[#This Row],[Defaulted Principal]]</f>
        <v>0</v>
      </c>
      <c r="P189" s="32">
        <f>Table157[[#This Row],[Principal]]+Table157[[#This Row],[Interest]]+Table157[[#This Row],[Prepayments]]+Table157[[#This Row],[RecoveredAmount]]</f>
        <v>0</v>
      </c>
      <c r="Q189" s="32">
        <f ca="1">ROUND(Table157[[#This Row],[Cash Flow]]/((1+ActualRateToUse)^(IF(ISNUMBER(SEARCH("Actual",$C$7)),Table157[[#This Row],[Running Total]]/365,Table157[[#This Row],[Period]]/12))),2)</f>
        <v>0</v>
      </c>
      <c r="R189" s="4">
        <f>IF(MONTH(Table157[[#This Row],[Date]])=2,28,DAY(DATE(YEAR(Table157[[#This Row],[Date]]),MONTH(Table157[[#This Row],[Date]])+1,1)-1))</f>
        <v>30</v>
      </c>
      <c r="S189" s="4">
        <f ca="1">SUM(OFFSET(Table157[[#Headers],[Days in month]],1,0):Table157[[#This Row],[Days in month]])</f>
        <v>5263</v>
      </c>
      <c r="T189" s="30">
        <f>InterestRate*AmortizationMultiplier*IF(ISNUMBER(SEARCH("Actual",$C$7)),Table157[[#This Row],[Days in month]]/365,1/12)</f>
        <v>2.8749999999999995E-3</v>
      </c>
    </row>
    <row r="190" spans="2:20" x14ac:dyDescent="0.2">
      <c r="B190" s="41">
        <f t="shared" si="6"/>
        <v>51135</v>
      </c>
      <c r="C190" s="4">
        <f t="shared" si="8"/>
        <v>174</v>
      </c>
      <c r="D190" s="32">
        <f t="shared" si="7"/>
        <v>0</v>
      </c>
      <c r="E190" s="32">
        <f>ROUND(Table157[[#This Row],[Beginning Balance]]*Table157[[#This Row],[Monthly Interest Rate]],2)</f>
        <v>0</v>
      </c>
      <c r="F190" s="32">
        <f t="shared" si="9"/>
        <v>82</v>
      </c>
      <c r="G190" s="45">
        <f>IFERROR(IF($C$13="No","N/A",IF(Table157[[#This Row],[Period]]=1,$C$6,PMT(InterestRate*AmortizationMultiplier/12,Table157[[#This Row],[Am Thru]],-Table157[[#This Row],[Beginning Balance]]))),0)</f>
        <v>0</v>
      </c>
      <c r="H190" s="32">
        <f>MAX(0,IF(C190=$C$4,D190,ROUND(IF($C$3="Fixed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0" s="32">
        <f>ROUND(Table157[[#This Row],[Defaulted Principal]]*IF($C$9="No",$E$4,VLOOKUP(Table157[[#This Row],[Period]],[1]Forecast!$H$2:$L$1048576,3,FALSE)),2)</f>
        <v>0</v>
      </c>
      <c r="L190" s="4">
        <f>Table157[[#This Row],[Period]]+$E$9</f>
        <v>186</v>
      </c>
      <c r="M190" s="32">
        <f>Table157[[#This Row],[Defaulted Principal]]-Table157[[#This Row],[Estimated Loss]]</f>
        <v>0</v>
      </c>
      <c r="N190" s="32">
        <f>IFERROR(VLOOKUP(Table157[[#This Row],[Period]],$L$16:$M$385,2,FALSE),0)</f>
        <v>0</v>
      </c>
      <c r="O190" s="32">
        <f>Table157[[#This Row],[Beginning Balance]]-Table157[[#This Row],[Principal]]-Table157[[#This Row],[Prepayments]]-Table157[[#This Row],[Defaulted Principal]]</f>
        <v>0</v>
      </c>
      <c r="P190" s="32">
        <f>Table157[[#This Row],[Principal]]+Table157[[#This Row],[Interest]]+Table157[[#This Row],[Prepayments]]+Table157[[#This Row],[RecoveredAmount]]</f>
        <v>0</v>
      </c>
      <c r="Q190" s="32">
        <f ca="1">ROUND(Table157[[#This Row],[Cash Flow]]/((1+ActualRateToUse)^(IF(ISNUMBER(SEARCH("Actual",$C$7)),Table157[[#This Row],[Running Total]]/365,Table157[[#This Row],[Period]]/12))),2)</f>
        <v>0</v>
      </c>
      <c r="R190" s="4">
        <f>IF(MONTH(Table157[[#This Row],[Date]])=2,28,DAY(DATE(YEAR(Table157[[#This Row],[Date]]),MONTH(Table157[[#This Row],[Date]])+1,1)-1))</f>
        <v>31</v>
      </c>
      <c r="S190" s="4">
        <f ca="1">SUM(OFFSET(Table157[[#Headers],[Days in month]],1,0):Table157[[#This Row],[Days in month]])</f>
        <v>5294</v>
      </c>
      <c r="T190" s="30">
        <f>InterestRate*AmortizationMultiplier*IF(ISNUMBER(SEARCH("Actual",$C$7)),Table157[[#This Row],[Days in month]]/365,1/12)</f>
        <v>2.9708333333333331E-3</v>
      </c>
    </row>
    <row r="191" spans="2:20" x14ac:dyDescent="0.2">
      <c r="B191" s="41">
        <f t="shared" si="6"/>
        <v>51166</v>
      </c>
      <c r="C191" s="4">
        <f t="shared" si="8"/>
        <v>175</v>
      </c>
      <c r="D191" s="32">
        <f t="shared" si="7"/>
        <v>0</v>
      </c>
      <c r="E191" s="32">
        <f>ROUND(Table157[[#This Row],[Beginning Balance]]*Table157[[#This Row],[Monthly Interest Rate]],2)</f>
        <v>0</v>
      </c>
      <c r="F191" s="32">
        <f t="shared" si="9"/>
        <v>81</v>
      </c>
      <c r="G191" s="45">
        <f>IFERROR(IF($C$13="No","N/A",IF(Table157[[#This Row],[Period]]=1,$C$6,PMT(InterestRate*AmortizationMultiplier/12,Table157[[#This Row],[Am Thru]],-Table157[[#This Row],[Beginning Balance]]))),0)</f>
        <v>0</v>
      </c>
      <c r="H191" s="32">
        <f>MAX(0,IF(C191=$C$4,D191,ROUND(IF($C$3="Fixed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1" s="32">
        <f>ROUND(Table157[[#This Row],[Defaulted Principal]]*IF($C$9="No",$E$4,VLOOKUP(Table157[[#This Row],[Period]],[1]Forecast!$H$2:$L$1048576,3,FALSE)),2)</f>
        <v>0</v>
      </c>
      <c r="L191" s="4">
        <f>Table157[[#This Row],[Period]]+$E$9</f>
        <v>187</v>
      </c>
      <c r="M191" s="32">
        <f>Table157[[#This Row],[Defaulted Principal]]-Table157[[#This Row],[Estimated Loss]]</f>
        <v>0</v>
      </c>
      <c r="N191" s="32">
        <f>IFERROR(VLOOKUP(Table157[[#This Row],[Period]],$L$16:$M$385,2,FALSE),0)</f>
        <v>0</v>
      </c>
      <c r="O191" s="32">
        <f>Table157[[#This Row],[Beginning Balance]]-Table157[[#This Row],[Principal]]-Table157[[#This Row],[Prepayments]]-Table157[[#This Row],[Defaulted Principal]]</f>
        <v>0</v>
      </c>
      <c r="P191" s="32">
        <f>Table157[[#This Row],[Principal]]+Table157[[#This Row],[Interest]]+Table157[[#This Row],[Prepayments]]+Table157[[#This Row],[RecoveredAmount]]</f>
        <v>0</v>
      </c>
      <c r="Q191" s="32">
        <f ca="1">ROUND(Table157[[#This Row],[Cash Flow]]/((1+ActualRateToUse)^(IF(ISNUMBER(SEARCH("Actual",$C$7)),Table157[[#This Row],[Running Total]]/365,Table157[[#This Row],[Period]]/12))),2)</f>
        <v>0</v>
      </c>
      <c r="R191" s="4">
        <f>IF(MONTH(Table157[[#This Row],[Date]])=2,28,DAY(DATE(YEAR(Table157[[#This Row],[Date]]),MONTH(Table157[[#This Row],[Date]])+1,1)-1))</f>
        <v>31</v>
      </c>
      <c r="S191" s="4">
        <f ca="1">SUM(OFFSET(Table157[[#Headers],[Days in month]],1,0):Table157[[#This Row],[Days in month]])</f>
        <v>5325</v>
      </c>
      <c r="T191" s="30">
        <f>InterestRate*AmortizationMultiplier*IF(ISNUMBER(SEARCH("Actual",$C$7)),Table157[[#This Row],[Days in month]]/365,1/12)</f>
        <v>2.9708333333333331E-3</v>
      </c>
    </row>
    <row r="192" spans="2:20" x14ac:dyDescent="0.2">
      <c r="B192" s="41">
        <f t="shared" si="6"/>
        <v>51195</v>
      </c>
      <c r="C192" s="4">
        <f t="shared" si="8"/>
        <v>176</v>
      </c>
      <c r="D192" s="32">
        <f t="shared" si="7"/>
        <v>0</v>
      </c>
      <c r="E192" s="32">
        <f>ROUND(Table157[[#This Row],[Beginning Balance]]*Table157[[#This Row],[Monthly Interest Rate]],2)</f>
        <v>0</v>
      </c>
      <c r="F192" s="32">
        <f t="shared" si="9"/>
        <v>80</v>
      </c>
      <c r="G192" s="45">
        <f>IFERROR(IF($C$13="No","N/A",IF(Table157[[#This Row],[Period]]=1,$C$6,PMT(InterestRate*AmortizationMultiplier/12,Table157[[#This Row],[Am Thru]],-Table157[[#This Row],[Beginning Balance]]))),0)</f>
        <v>0</v>
      </c>
      <c r="H192" s="32">
        <f>MAX(0,IF(C192=$C$4,D192,ROUND(IF($C$3="Fixed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2" s="32">
        <f>ROUND(Table157[[#This Row],[Defaulted Principal]]*IF($C$9="No",$E$4,VLOOKUP(Table157[[#This Row],[Period]],[1]Forecast!$H$2:$L$1048576,3,FALSE)),2)</f>
        <v>0</v>
      </c>
      <c r="L192" s="4">
        <f>Table157[[#This Row],[Period]]+$E$9</f>
        <v>188</v>
      </c>
      <c r="M192" s="32">
        <f>Table157[[#This Row],[Defaulted Principal]]-Table157[[#This Row],[Estimated Loss]]</f>
        <v>0</v>
      </c>
      <c r="N192" s="32">
        <f>IFERROR(VLOOKUP(Table157[[#This Row],[Period]],$L$16:$M$385,2,FALSE),0)</f>
        <v>0</v>
      </c>
      <c r="O192" s="32">
        <f>Table157[[#This Row],[Beginning Balance]]-Table157[[#This Row],[Principal]]-Table157[[#This Row],[Prepayments]]-Table157[[#This Row],[Defaulted Principal]]</f>
        <v>0</v>
      </c>
      <c r="P192" s="32">
        <f>Table157[[#This Row],[Principal]]+Table157[[#This Row],[Interest]]+Table157[[#This Row],[Prepayments]]+Table157[[#This Row],[RecoveredAmount]]</f>
        <v>0</v>
      </c>
      <c r="Q192" s="32">
        <f ca="1">ROUND(Table157[[#This Row],[Cash Flow]]/((1+ActualRateToUse)^(IF(ISNUMBER(SEARCH("Actual",$C$7)),Table157[[#This Row],[Running Total]]/365,Table157[[#This Row],[Period]]/12))),2)</f>
        <v>0</v>
      </c>
      <c r="R192" s="4">
        <f>IF(MONTH(Table157[[#This Row],[Date]])=2,28,DAY(DATE(YEAR(Table157[[#This Row],[Date]]),MONTH(Table157[[#This Row],[Date]])+1,1)-1))</f>
        <v>28</v>
      </c>
      <c r="S192" s="4">
        <f ca="1">SUM(OFFSET(Table157[[#Headers],[Days in month]],1,0):Table157[[#This Row],[Days in month]])</f>
        <v>5353</v>
      </c>
      <c r="T192" s="30">
        <f>InterestRate*AmortizationMultiplier*IF(ISNUMBER(SEARCH("Actual",$C$7)),Table157[[#This Row],[Days in month]]/365,1/12)</f>
        <v>2.6833333333333336E-3</v>
      </c>
    </row>
    <row r="193" spans="2:20" x14ac:dyDescent="0.2">
      <c r="B193" s="41">
        <f t="shared" si="6"/>
        <v>51226</v>
      </c>
      <c r="C193" s="4">
        <f t="shared" si="8"/>
        <v>177</v>
      </c>
      <c r="D193" s="32">
        <f t="shared" si="7"/>
        <v>0</v>
      </c>
      <c r="E193" s="32">
        <f>ROUND(Table157[[#This Row],[Beginning Balance]]*Table157[[#This Row],[Monthly Interest Rate]],2)</f>
        <v>0</v>
      </c>
      <c r="F193" s="32">
        <f t="shared" si="9"/>
        <v>79</v>
      </c>
      <c r="G193" s="45">
        <f>IFERROR(IF($C$13="No","N/A",IF(Table157[[#This Row],[Period]]=1,$C$6,PMT(InterestRate*AmortizationMultiplier/12,Table157[[#This Row],[Am Thru]],-Table157[[#This Row],[Beginning Balance]]))),0)</f>
        <v>0</v>
      </c>
      <c r="H193" s="32">
        <f>MAX(0,IF(C193=$C$4,D193,ROUND(IF($C$3="Fixed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3" s="32">
        <f>ROUND(Table157[[#This Row],[Defaulted Principal]]*IF($C$9="No",$E$4,VLOOKUP(Table157[[#This Row],[Period]],[1]Forecast!$H$2:$L$1048576,3,FALSE)),2)</f>
        <v>0</v>
      </c>
      <c r="L193" s="4">
        <f>Table157[[#This Row],[Period]]+$E$9</f>
        <v>189</v>
      </c>
      <c r="M193" s="32">
        <f>Table157[[#This Row],[Defaulted Principal]]-Table157[[#This Row],[Estimated Loss]]</f>
        <v>0</v>
      </c>
      <c r="N193" s="32">
        <f>IFERROR(VLOOKUP(Table157[[#This Row],[Period]],$L$16:$M$385,2,FALSE),0)</f>
        <v>0</v>
      </c>
      <c r="O193" s="32">
        <f>Table157[[#This Row],[Beginning Balance]]-Table157[[#This Row],[Principal]]-Table157[[#This Row],[Prepayments]]-Table157[[#This Row],[Defaulted Principal]]</f>
        <v>0</v>
      </c>
      <c r="P193" s="32">
        <f>Table157[[#This Row],[Principal]]+Table157[[#This Row],[Interest]]+Table157[[#This Row],[Prepayments]]+Table157[[#This Row],[RecoveredAmount]]</f>
        <v>0</v>
      </c>
      <c r="Q193" s="32">
        <f ca="1">ROUND(Table157[[#This Row],[Cash Flow]]/((1+ActualRateToUse)^(IF(ISNUMBER(SEARCH("Actual",$C$7)),Table157[[#This Row],[Running Total]]/365,Table157[[#This Row],[Period]]/12))),2)</f>
        <v>0</v>
      </c>
      <c r="R193" s="4">
        <f>IF(MONTH(Table157[[#This Row],[Date]])=2,28,DAY(DATE(YEAR(Table157[[#This Row],[Date]]),MONTH(Table157[[#This Row],[Date]])+1,1)-1))</f>
        <v>31</v>
      </c>
      <c r="S193" s="4">
        <f ca="1">SUM(OFFSET(Table157[[#Headers],[Days in month]],1,0):Table157[[#This Row],[Days in month]])</f>
        <v>5384</v>
      </c>
      <c r="T193" s="30">
        <f>InterestRate*AmortizationMultiplier*IF(ISNUMBER(SEARCH("Actual",$C$7)),Table157[[#This Row],[Days in month]]/365,1/12)</f>
        <v>2.9708333333333331E-3</v>
      </c>
    </row>
    <row r="194" spans="2:20" x14ac:dyDescent="0.2">
      <c r="B194" s="41">
        <f t="shared" si="6"/>
        <v>51256</v>
      </c>
      <c r="C194" s="4">
        <f t="shared" si="8"/>
        <v>178</v>
      </c>
      <c r="D194" s="32">
        <f t="shared" si="7"/>
        <v>0</v>
      </c>
      <c r="E194" s="32">
        <f>ROUND(Table157[[#This Row],[Beginning Balance]]*Table157[[#This Row],[Monthly Interest Rate]],2)</f>
        <v>0</v>
      </c>
      <c r="F194" s="32">
        <f t="shared" si="9"/>
        <v>78</v>
      </c>
      <c r="G194" s="45">
        <f>IFERROR(IF($C$13="No","N/A",IF(Table157[[#This Row],[Period]]=1,$C$6,PMT(InterestRate*AmortizationMultiplier/12,Table157[[#This Row],[Am Thru]],-Table157[[#This Row],[Beginning Balance]]))),0)</f>
        <v>0</v>
      </c>
      <c r="H194" s="32">
        <f>MAX(0,IF(C194=$C$4,D194,ROUND(IF($C$3="Fixed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4" s="32">
        <f>ROUND(Table157[[#This Row],[Defaulted Principal]]*IF($C$9="No",$E$4,VLOOKUP(Table157[[#This Row],[Period]],[1]Forecast!$H$2:$L$1048576,3,FALSE)),2)</f>
        <v>0</v>
      </c>
      <c r="L194" s="4">
        <f>Table157[[#This Row],[Period]]+$E$9</f>
        <v>190</v>
      </c>
      <c r="M194" s="32">
        <f>Table157[[#This Row],[Defaulted Principal]]-Table157[[#This Row],[Estimated Loss]]</f>
        <v>0</v>
      </c>
      <c r="N194" s="32">
        <f>IFERROR(VLOOKUP(Table157[[#This Row],[Period]],$L$16:$M$385,2,FALSE),0)</f>
        <v>0</v>
      </c>
      <c r="O194" s="32">
        <f>Table157[[#This Row],[Beginning Balance]]-Table157[[#This Row],[Principal]]-Table157[[#This Row],[Prepayments]]-Table157[[#This Row],[Defaulted Principal]]</f>
        <v>0</v>
      </c>
      <c r="P194" s="32">
        <f>Table157[[#This Row],[Principal]]+Table157[[#This Row],[Interest]]+Table157[[#This Row],[Prepayments]]+Table157[[#This Row],[RecoveredAmount]]</f>
        <v>0</v>
      </c>
      <c r="Q194" s="32">
        <f ca="1">ROUND(Table157[[#This Row],[Cash Flow]]/((1+ActualRateToUse)^(IF(ISNUMBER(SEARCH("Actual",$C$7)),Table157[[#This Row],[Running Total]]/365,Table157[[#This Row],[Period]]/12))),2)</f>
        <v>0</v>
      </c>
      <c r="R194" s="4">
        <f>IF(MONTH(Table157[[#This Row],[Date]])=2,28,DAY(DATE(YEAR(Table157[[#This Row],[Date]]),MONTH(Table157[[#This Row],[Date]])+1,1)-1))</f>
        <v>30</v>
      </c>
      <c r="S194" s="4">
        <f ca="1">SUM(OFFSET(Table157[[#Headers],[Days in month]],1,0):Table157[[#This Row],[Days in month]])</f>
        <v>5414</v>
      </c>
      <c r="T194" s="30">
        <f>InterestRate*AmortizationMultiplier*IF(ISNUMBER(SEARCH("Actual",$C$7)),Table157[[#This Row],[Days in month]]/365,1/12)</f>
        <v>2.8749999999999995E-3</v>
      </c>
    </row>
    <row r="195" spans="2:20" x14ac:dyDescent="0.2">
      <c r="B195" s="41">
        <f t="shared" si="6"/>
        <v>51287</v>
      </c>
      <c r="C195" s="4">
        <f t="shared" si="8"/>
        <v>179</v>
      </c>
      <c r="D195" s="32">
        <f t="shared" si="7"/>
        <v>0</v>
      </c>
      <c r="E195" s="32">
        <f>ROUND(Table157[[#This Row],[Beginning Balance]]*Table157[[#This Row],[Monthly Interest Rate]],2)</f>
        <v>0</v>
      </c>
      <c r="F195" s="32">
        <f t="shared" si="9"/>
        <v>77</v>
      </c>
      <c r="G195" s="45">
        <f>IFERROR(IF($C$13="No","N/A",IF(Table157[[#This Row],[Period]]=1,$C$6,PMT(InterestRate*AmortizationMultiplier/12,Table157[[#This Row],[Am Thru]],-Table157[[#This Row],[Beginning Balance]]))),0)</f>
        <v>0</v>
      </c>
      <c r="H195" s="32">
        <f>MAX(0,IF(C195=$C$4,D195,ROUND(IF($C$3="Fixed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5" s="32">
        <f>ROUND(Table157[[#This Row],[Defaulted Principal]]*IF($C$9="No",$E$4,VLOOKUP(Table157[[#This Row],[Period]],[1]Forecast!$H$2:$L$1048576,3,FALSE)),2)</f>
        <v>0</v>
      </c>
      <c r="L195" s="4">
        <f>Table157[[#This Row],[Period]]+$E$9</f>
        <v>191</v>
      </c>
      <c r="M195" s="32">
        <f>Table157[[#This Row],[Defaulted Principal]]-Table157[[#This Row],[Estimated Loss]]</f>
        <v>0</v>
      </c>
      <c r="N195" s="32">
        <f>IFERROR(VLOOKUP(Table157[[#This Row],[Period]],$L$16:$M$385,2,FALSE),0)</f>
        <v>0</v>
      </c>
      <c r="O195" s="32">
        <f>Table157[[#This Row],[Beginning Balance]]-Table157[[#This Row],[Principal]]-Table157[[#This Row],[Prepayments]]-Table157[[#This Row],[Defaulted Principal]]</f>
        <v>0</v>
      </c>
      <c r="P195" s="32">
        <f>Table157[[#This Row],[Principal]]+Table157[[#This Row],[Interest]]+Table157[[#This Row],[Prepayments]]+Table157[[#This Row],[RecoveredAmount]]</f>
        <v>0</v>
      </c>
      <c r="Q195" s="32">
        <f ca="1">ROUND(Table157[[#This Row],[Cash Flow]]/((1+ActualRateToUse)^(IF(ISNUMBER(SEARCH("Actual",$C$7)),Table157[[#This Row],[Running Total]]/365,Table157[[#This Row],[Period]]/12))),2)</f>
        <v>0</v>
      </c>
      <c r="R195" s="4">
        <f>IF(MONTH(Table157[[#This Row],[Date]])=2,28,DAY(DATE(YEAR(Table157[[#This Row],[Date]]),MONTH(Table157[[#This Row],[Date]])+1,1)-1))</f>
        <v>31</v>
      </c>
      <c r="S195" s="4">
        <f ca="1">SUM(OFFSET(Table157[[#Headers],[Days in month]],1,0):Table157[[#This Row],[Days in month]])</f>
        <v>5445</v>
      </c>
      <c r="T195" s="30">
        <f>InterestRate*AmortizationMultiplier*IF(ISNUMBER(SEARCH("Actual",$C$7)),Table157[[#This Row],[Days in month]]/365,1/12)</f>
        <v>2.9708333333333331E-3</v>
      </c>
    </row>
    <row r="196" spans="2:20" x14ac:dyDescent="0.2">
      <c r="B196" s="41">
        <f t="shared" si="6"/>
        <v>51317</v>
      </c>
      <c r="C196" s="4">
        <f t="shared" si="8"/>
        <v>180</v>
      </c>
      <c r="D196" s="32">
        <f t="shared" si="7"/>
        <v>0</v>
      </c>
      <c r="E196" s="32">
        <f>ROUND(Table157[[#This Row],[Beginning Balance]]*Table157[[#This Row],[Monthly Interest Rate]],2)</f>
        <v>0</v>
      </c>
      <c r="F196" s="32">
        <f t="shared" si="9"/>
        <v>76</v>
      </c>
      <c r="G196" s="45">
        <f>IFERROR(IF($C$13="No","N/A",IF(Table157[[#This Row],[Period]]=1,$C$6,PMT(InterestRate*AmortizationMultiplier/12,Table157[[#This Row],[Am Thru]],-Table157[[#This Row],[Beginning Balance]]))),0)</f>
        <v>0</v>
      </c>
      <c r="H196" s="32">
        <f>MAX(0,IF(C196=$C$4,D196,ROUND(IF($C$3="Fixed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6" s="32">
        <f>ROUND(Table157[[#This Row],[Defaulted Principal]]*IF($C$9="No",$E$4,VLOOKUP(Table157[[#This Row],[Period]],[1]Forecast!$H$2:$L$1048576,3,FALSE)),2)</f>
        <v>0</v>
      </c>
      <c r="L196" s="4">
        <f>Table157[[#This Row],[Period]]+$E$9</f>
        <v>192</v>
      </c>
      <c r="M196" s="32">
        <f>Table157[[#This Row],[Defaulted Principal]]-Table157[[#This Row],[Estimated Loss]]</f>
        <v>0</v>
      </c>
      <c r="N196" s="32">
        <f>IFERROR(VLOOKUP(Table157[[#This Row],[Period]],$L$16:$M$385,2,FALSE),0)</f>
        <v>0</v>
      </c>
      <c r="O196" s="32">
        <f>Table157[[#This Row],[Beginning Balance]]-Table157[[#This Row],[Principal]]-Table157[[#This Row],[Prepayments]]-Table157[[#This Row],[Defaulted Principal]]</f>
        <v>0</v>
      </c>
      <c r="P196" s="32">
        <f>Table157[[#This Row],[Principal]]+Table157[[#This Row],[Interest]]+Table157[[#This Row],[Prepayments]]+Table157[[#This Row],[RecoveredAmount]]</f>
        <v>0</v>
      </c>
      <c r="Q196" s="32">
        <f ca="1">ROUND(Table157[[#This Row],[Cash Flow]]/((1+ActualRateToUse)^(IF(ISNUMBER(SEARCH("Actual",$C$7)),Table157[[#This Row],[Running Total]]/365,Table157[[#This Row],[Period]]/12))),2)</f>
        <v>0</v>
      </c>
      <c r="R196" s="4">
        <f>IF(MONTH(Table157[[#This Row],[Date]])=2,28,DAY(DATE(YEAR(Table157[[#This Row],[Date]]),MONTH(Table157[[#This Row],[Date]])+1,1)-1))</f>
        <v>30</v>
      </c>
      <c r="S196" s="4">
        <f ca="1">SUM(OFFSET(Table157[[#Headers],[Days in month]],1,0):Table157[[#This Row],[Days in month]])</f>
        <v>5475</v>
      </c>
      <c r="T196" s="30">
        <f>InterestRate*AmortizationMultiplier*IF(ISNUMBER(SEARCH("Actual",$C$7)),Table157[[#This Row],[Days in month]]/365,1/12)</f>
        <v>2.8749999999999995E-3</v>
      </c>
    </row>
    <row r="197" spans="2:20" x14ac:dyDescent="0.2">
      <c r="B197" s="41">
        <f t="shared" si="6"/>
        <v>51348</v>
      </c>
      <c r="C197" s="4">
        <f t="shared" si="8"/>
        <v>181</v>
      </c>
      <c r="D197" s="32">
        <f t="shared" si="7"/>
        <v>0</v>
      </c>
      <c r="E197" s="32">
        <f>ROUND(Table157[[#This Row],[Beginning Balance]]*Table157[[#This Row],[Monthly Interest Rate]],2)</f>
        <v>0</v>
      </c>
      <c r="F197" s="32">
        <f t="shared" si="9"/>
        <v>75</v>
      </c>
      <c r="G197" s="45">
        <f>IFERROR(IF($C$13="No","N/A",IF(Table157[[#This Row],[Period]]=1,$C$6,PMT(InterestRate*AmortizationMultiplier/12,Table157[[#This Row],[Am Thru]],-Table157[[#This Row],[Beginning Balance]]))),0)</f>
        <v>0</v>
      </c>
      <c r="H197" s="32">
        <f>MAX(0,IF(C197=$C$4,D197,ROUND(IF($C$3="Fixed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7" s="32">
        <f>ROUND(Table157[[#This Row],[Defaulted Principal]]*IF($C$9="No",$E$4,VLOOKUP(Table157[[#This Row],[Period]],[1]Forecast!$H$2:$L$1048576,3,FALSE)),2)</f>
        <v>0</v>
      </c>
      <c r="L197" s="4">
        <f>Table157[[#This Row],[Period]]+$E$9</f>
        <v>193</v>
      </c>
      <c r="M197" s="32">
        <f>Table157[[#This Row],[Defaulted Principal]]-Table157[[#This Row],[Estimated Loss]]</f>
        <v>0</v>
      </c>
      <c r="N197" s="32">
        <f>IFERROR(VLOOKUP(Table157[[#This Row],[Period]],$L$16:$M$385,2,FALSE),0)</f>
        <v>0</v>
      </c>
      <c r="O197" s="32">
        <f>Table157[[#This Row],[Beginning Balance]]-Table157[[#This Row],[Principal]]-Table157[[#This Row],[Prepayments]]-Table157[[#This Row],[Defaulted Principal]]</f>
        <v>0</v>
      </c>
      <c r="P197" s="32">
        <f>Table157[[#This Row],[Principal]]+Table157[[#This Row],[Interest]]+Table157[[#This Row],[Prepayments]]+Table157[[#This Row],[RecoveredAmount]]</f>
        <v>0</v>
      </c>
      <c r="Q197" s="32">
        <f ca="1">ROUND(Table157[[#This Row],[Cash Flow]]/((1+ActualRateToUse)^(IF(ISNUMBER(SEARCH("Actual",$C$7)),Table157[[#This Row],[Running Total]]/365,Table157[[#This Row],[Period]]/12))),2)</f>
        <v>0</v>
      </c>
      <c r="R197" s="4">
        <f>IF(MONTH(Table157[[#This Row],[Date]])=2,28,DAY(DATE(YEAR(Table157[[#This Row],[Date]]),MONTH(Table157[[#This Row],[Date]])+1,1)-1))</f>
        <v>31</v>
      </c>
      <c r="S197" s="4">
        <f ca="1">SUM(OFFSET(Table157[[#Headers],[Days in month]],1,0):Table157[[#This Row],[Days in month]])</f>
        <v>5506</v>
      </c>
      <c r="T197" s="30">
        <f>InterestRate*AmortizationMultiplier*IF(ISNUMBER(SEARCH("Actual",$C$7)),Table157[[#This Row],[Days in month]]/365,1/12)</f>
        <v>2.9708333333333331E-3</v>
      </c>
    </row>
    <row r="198" spans="2:20" x14ac:dyDescent="0.2">
      <c r="B198" s="41">
        <f t="shared" si="6"/>
        <v>51379</v>
      </c>
      <c r="C198" s="4">
        <f t="shared" si="8"/>
        <v>182</v>
      </c>
      <c r="D198" s="32">
        <f t="shared" si="7"/>
        <v>0</v>
      </c>
      <c r="E198" s="32">
        <f>ROUND(Table157[[#This Row],[Beginning Balance]]*Table157[[#This Row],[Monthly Interest Rate]],2)</f>
        <v>0</v>
      </c>
      <c r="F198" s="32">
        <f t="shared" si="9"/>
        <v>74</v>
      </c>
      <c r="G198" s="45">
        <f>IFERROR(IF($C$13="No","N/A",IF(Table157[[#This Row],[Period]]=1,$C$6,PMT(InterestRate*AmortizationMultiplier/12,Table157[[#This Row],[Am Thru]],-Table157[[#This Row],[Beginning Balance]]))),0)</f>
        <v>0</v>
      </c>
      <c r="H198" s="32">
        <f>MAX(0,IF(C198=$C$4,D198,ROUND(IF($C$3="Fixed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8" s="32">
        <f>ROUND(Table157[[#This Row],[Defaulted Principal]]*IF($C$9="No",$E$4,VLOOKUP(Table157[[#This Row],[Period]],[1]Forecast!$H$2:$L$1048576,3,FALSE)),2)</f>
        <v>0</v>
      </c>
      <c r="L198" s="4">
        <f>Table157[[#This Row],[Period]]+$E$9</f>
        <v>194</v>
      </c>
      <c r="M198" s="32">
        <f>Table157[[#This Row],[Defaulted Principal]]-Table157[[#This Row],[Estimated Loss]]</f>
        <v>0</v>
      </c>
      <c r="N198" s="32">
        <f>IFERROR(VLOOKUP(Table157[[#This Row],[Period]],$L$16:$M$385,2,FALSE),0)</f>
        <v>0</v>
      </c>
      <c r="O198" s="32">
        <f>Table157[[#This Row],[Beginning Balance]]-Table157[[#This Row],[Principal]]-Table157[[#This Row],[Prepayments]]-Table157[[#This Row],[Defaulted Principal]]</f>
        <v>0</v>
      </c>
      <c r="P198" s="32">
        <f>Table157[[#This Row],[Principal]]+Table157[[#This Row],[Interest]]+Table157[[#This Row],[Prepayments]]+Table157[[#This Row],[RecoveredAmount]]</f>
        <v>0</v>
      </c>
      <c r="Q198" s="32">
        <f ca="1">ROUND(Table157[[#This Row],[Cash Flow]]/((1+ActualRateToUse)^(IF(ISNUMBER(SEARCH("Actual",$C$7)),Table157[[#This Row],[Running Total]]/365,Table157[[#This Row],[Period]]/12))),2)</f>
        <v>0</v>
      </c>
      <c r="R198" s="4">
        <f>IF(MONTH(Table157[[#This Row],[Date]])=2,28,DAY(DATE(YEAR(Table157[[#This Row],[Date]]),MONTH(Table157[[#This Row],[Date]])+1,1)-1))</f>
        <v>31</v>
      </c>
      <c r="S198" s="4">
        <f ca="1">SUM(OFFSET(Table157[[#Headers],[Days in month]],1,0):Table157[[#This Row],[Days in month]])</f>
        <v>5537</v>
      </c>
      <c r="T198" s="30">
        <f>InterestRate*AmortizationMultiplier*IF(ISNUMBER(SEARCH("Actual",$C$7)),Table157[[#This Row],[Days in month]]/365,1/12)</f>
        <v>2.9708333333333331E-3</v>
      </c>
    </row>
    <row r="199" spans="2:20" x14ac:dyDescent="0.2">
      <c r="B199" s="41">
        <f t="shared" si="6"/>
        <v>51409</v>
      </c>
      <c r="C199" s="4">
        <f t="shared" si="8"/>
        <v>183</v>
      </c>
      <c r="D199" s="32">
        <f t="shared" si="7"/>
        <v>0</v>
      </c>
      <c r="E199" s="32">
        <f>ROUND(Table157[[#This Row],[Beginning Balance]]*Table157[[#This Row],[Monthly Interest Rate]],2)</f>
        <v>0</v>
      </c>
      <c r="F199" s="32">
        <f t="shared" si="9"/>
        <v>73</v>
      </c>
      <c r="G199" s="45">
        <f>IFERROR(IF($C$13="No","N/A",IF(Table157[[#This Row],[Period]]=1,$C$6,PMT(InterestRate*AmortizationMultiplier/12,Table157[[#This Row],[Am Thru]],-Table157[[#This Row],[Beginning Balance]]))),0)</f>
        <v>0</v>
      </c>
      <c r="H199" s="32">
        <f>MAX(0,IF(C199=$C$4,D199,ROUND(IF($C$3="Fixed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19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19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199" s="32">
        <f>ROUND(Table157[[#This Row],[Defaulted Principal]]*IF($C$9="No",$E$4,VLOOKUP(Table157[[#This Row],[Period]],[1]Forecast!$H$2:$L$1048576,3,FALSE)),2)</f>
        <v>0</v>
      </c>
      <c r="L199" s="4">
        <f>Table157[[#This Row],[Period]]+$E$9</f>
        <v>195</v>
      </c>
      <c r="M199" s="32">
        <f>Table157[[#This Row],[Defaulted Principal]]-Table157[[#This Row],[Estimated Loss]]</f>
        <v>0</v>
      </c>
      <c r="N199" s="32">
        <f>IFERROR(VLOOKUP(Table157[[#This Row],[Period]],$L$16:$M$385,2,FALSE),0)</f>
        <v>0</v>
      </c>
      <c r="O199" s="32">
        <f>Table157[[#This Row],[Beginning Balance]]-Table157[[#This Row],[Principal]]-Table157[[#This Row],[Prepayments]]-Table157[[#This Row],[Defaulted Principal]]</f>
        <v>0</v>
      </c>
      <c r="P199" s="32">
        <f>Table157[[#This Row],[Principal]]+Table157[[#This Row],[Interest]]+Table157[[#This Row],[Prepayments]]+Table157[[#This Row],[RecoveredAmount]]</f>
        <v>0</v>
      </c>
      <c r="Q199" s="32">
        <f ca="1">ROUND(Table157[[#This Row],[Cash Flow]]/((1+ActualRateToUse)^(IF(ISNUMBER(SEARCH("Actual",$C$7)),Table157[[#This Row],[Running Total]]/365,Table157[[#This Row],[Period]]/12))),2)</f>
        <v>0</v>
      </c>
      <c r="R199" s="4">
        <f>IF(MONTH(Table157[[#This Row],[Date]])=2,28,DAY(DATE(YEAR(Table157[[#This Row],[Date]]),MONTH(Table157[[#This Row],[Date]])+1,1)-1))</f>
        <v>30</v>
      </c>
      <c r="S199" s="4">
        <f ca="1">SUM(OFFSET(Table157[[#Headers],[Days in month]],1,0):Table157[[#This Row],[Days in month]])</f>
        <v>5567</v>
      </c>
      <c r="T199" s="30">
        <f>InterestRate*AmortizationMultiplier*IF(ISNUMBER(SEARCH("Actual",$C$7)),Table157[[#This Row],[Days in month]]/365,1/12)</f>
        <v>2.8749999999999995E-3</v>
      </c>
    </row>
    <row r="200" spans="2:20" x14ac:dyDescent="0.2">
      <c r="B200" s="41">
        <f t="shared" si="6"/>
        <v>51440</v>
      </c>
      <c r="C200" s="4">
        <f t="shared" si="8"/>
        <v>184</v>
      </c>
      <c r="D200" s="32">
        <f t="shared" si="7"/>
        <v>0</v>
      </c>
      <c r="E200" s="32">
        <f>ROUND(Table157[[#This Row],[Beginning Balance]]*Table157[[#This Row],[Monthly Interest Rate]],2)</f>
        <v>0</v>
      </c>
      <c r="F200" s="32">
        <f t="shared" si="9"/>
        <v>72</v>
      </c>
      <c r="G200" s="45">
        <f>IFERROR(IF($C$13="No","N/A",IF(Table157[[#This Row],[Period]]=1,$C$6,PMT(InterestRate*AmortizationMultiplier/12,Table157[[#This Row],[Am Thru]],-Table157[[#This Row],[Beginning Balance]]))),0)</f>
        <v>0</v>
      </c>
      <c r="H200" s="32">
        <f>MAX(0,IF(C200=$C$4,D200,ROUND(IF($C$3="Fixed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0" s="32">
        <f>ROUND(Table157[[#This Row],[Defaulted Principal]]*IF($C$9="No",$E$4,VLOOKUP(Table157[[#This Row],[Period]],[1]Forecast!$H$2:$L$1048576,3,FALSE)),2)</f>
        <v>0</v>
      </c>
      <c r="L200" s="4">
        <f>Table157[[#This Row],[Period]]+$E$9</f>
        <v>196</v>
      </c>
      <c r="M200" s="32">
        <f>Table157[[#This Row],[Defaulted Principal]]-Table157[[#This Row],[Estimated Loss]]</f>
        <v>0</v>
      </c>
      <c r="N200" s="32">
        <f>IFERROR(VLOOKUP(Table157[[#This Row],[Period]],$L$16:$M$385,2,FALSE),0)</f>
        <v>0</v>
      </c>
      <c r="O200" s="32">
        <f>Table157[[#This Row],[Beginning Balance]]-Table157[[#This Row],[Principal]]-Table157[[#This Row],[Prepayments]]-Table157[[#This Row],[Defaulted Principal]]</f>
        <v>0</v>
      </c>
      <c r="P200" s="32">
        <f>Table157[[#This Row],[Principal]]+Table157[[#This Row],[Interest]]+Table157[[#This Row],[Prepayments]]+Table157[[#This Row],[RecoveredAmount]]</f>
        <v>0</v>
      </c>
      <c r="Q200" s="32">
        <f ca="1">ROUND(Table157[[#This Row],[Cash Flow]]/((1+ActualRateToUse)^(IF(ISNUMBER(SEARCH("Actual",$C$7)),Table157[[#This Row],[Running Total]]/365,Table157[[#This Row],[Period]]/12))),2)</f>
        <v>0</v>
      </c>
      <c r="R200" s="4">
        <f>IF(MONTH(Table157[[#This Row],[Date]])=2,28,DAY(DATE(YEAR(Table157[[#This Row],[Date]]),MONTH(Table157[[#This Row],[Date]])+1,1)-1))</f>
        <v>31</v>
      </c>
      <c r="S200" s="4">
        <f ca="1">SUM(OFFSET(Table157[[#Headers],[Days in month]],1,0):Table157[[#This Row],[Days in month]])</f>
        <v>5598</v>
      </c>
      <c r="T200" s="30">
        <f>InterestRate*AmortizationMultiplier*IF(ISNUMBER(SEARCH("Actual",$C$7)),Table157[[#This Row],[Days in month]]/365,1/12)</f>
        <v>2.9708333333333331E-3</v>
      </c>
    </row>
    <row r="201" spans="2:20" x14ac:dyDescent="0.2">
      <c r="B201" s="41">
        <f t="shared" si="6"/>
        <v>51470</v>
      </c>
      <c r="C201" s="4">
        <f t="shared" si="8"/>
        <v>185</v>
      </c>
      <c r="D201" s="32">
        <f t="shared" si="7"/>
        <v>0</v>
      </c>
      <c r="E201" s="32">
        <f>ROUND(Table157[[#This Row],[Beginning Balance]]*Table157[[#This Row],[Monthly Interest Rate]],2)</f>
        <v>0</v>
      </c>
      <c r="F201" s="32">
        <f t="shared" si="9"/>
        <v>71</v>
      </c>
      <c r="G201" s="45">
        <f>IFERROR(IF($C$13="No","N/A",IF(Table157[[#This Row],[Period]]=1,$C$6,PMT(InterestRate*AmortizationMultiplier/12,Table157[[#This Row],[Am Thru]],-Table157[[#This Row],[Beginning Balance]]))),0)</f>
        <v>0</v>
      </c>
      <c r="H201" s="32">
        <f>MAX(0,IF(C201=$C$4,D201,ROUND(IF($C$3="Fixed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1" s="32">
        <f>ROUND(Table157[[#This Row],[Defaulted Principal]]*IF($C$9="No",$E$4,VLOOKUP(Table157[[#This Row],[Period]],[1]Forecast!$H$2:$L$1048576,3,FALSE)),2)</f>
        <v>0</v>
      </c>
      <c r="L201" s="4">
        <f>Table157[[#This Row],[Period]]+$E$9</f>
        <v>197</v>
      </c>
      <c r="M201" s="32">
        <f>Table157[[#This Row],[Defaulted Principal]]-Table157[[#This Row],[Estimated Loss]]</f>
        <v>0</v>
      </c>
      <c r="N201" s="32">
        <f>IFERROR(VLOOKUP(Table157[[#This Row],[Period]],$L$16:$M$385,2,FALSE),0)</f>
        <v>0</v>
      </c>
      <c r="O201" s="32">
        <f>Table157[[#This Row],[Beginning Balance]]-Table157[[#This Row],[Principal]]-Table157[[#This Row],[Prepayments]]-Table157[[#This Row],[Defaulted Principal]]</f>
        <v>0</v>
      </c>
      <c r="P201" s="32">
        <f>Table157[[#This Row],[Principal]]+Table157[[#This Row],[Interest]]+Table157[[#This Row],[Prepayments]]+Table157[[#This Row],[RecoveredAmount]]</f>
        <v>0</v>
      </c>
      <c r="Q201" s="32">
        <f ca="1">ROUND(Table157[[#This Row],[Cash Flow]]/((1+ActualRateToUse)^(IF(ISNUMBER(SEARCH("Actual",$C$7)),Table157[[#This Row],[Running Total]]/365,Table157[[#This Row],[Period]]/12))),2)</f>
        <v>0</v>
      </c>
      <c r="R201" s="4">
        <f>IF(MONTH(Table157[[#This Row],[Date]])=2,28,DAY(DATE(YEAR(Table157[[#This Row],[Date]]),MONTH(Table157[[#This Row],[Date]])+1,1)-1))</f>
        <v>30</v>
      </c>
      <c r="S201" s="4">
        <f ca="1">SUM(OFFSET(Table157[[#Headers],[Days in month]],1,0):Table157[[#This Row],[Days in month]])</f>
        <v>5628</v>
      </c>
      <c r="T201" s="30">
        <f>InterestRate*AmortizationMultiplier*IF(ISNUMBER(SEARCH("Actual",$C$7)),Table157[[#This Row],[Days in month]]/365,1/12)</f>
        <v>2.8749999999999995E-3</v>
      </c>
    </row>
    <row r="202" spans="2:20" x14ac:dyDescent="0.2">
      <c r="B202" s="41">
        <f t="shared" si="6"/>
        <v>51501</v>
      </c>
      <c r="C202" s="4">
        <f t="shared" si="8"/>
        <v>186</v>
      </c>
      <c r="D202" s="32">
        <f t="shared" si="7"/>
        <v>0</v>
      </c>
      <c r="E202" s="32">
        <f>ROUND(Table157[[#This Row],[Beginning Balance]]*Table157[[#This Row],[Monthly Interest Rate]],2)</f>
        <v>0</v>
      </c>
      <c r="F202" s="32">
        <f t="shared" si="9"/>
        <v>70</v>
      </c>
      <c r="G202" s="45">
        <f>IFERROR(IF($C$13="No","N/A",IF(Table157[[#This Row],[Period]]=1,$C$6,PMT(InterestRate*AmortizationMultiplier/12,Table157[[#This Row],[Am Thru]],-Table157[[#This Row],[Beginning Balance]]))),0)</f>
        <v>0</v>
      </c>
      <c r="H202" s="32">
        <f>MAX(0,IF(C202=$C$4,D202,ROUND(IF($C$3="Fixed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2" s="32">
        <f>ROUND(Table157[[#This Row],[Defaulted Principal]]*IF($C$9="No",$E$4,VLOOKUP(Table157[[#This Row],[Period]],[1]Forecast!$H$2:$L$1048576,3,FALSE)),2)</f>
        <v>0</v>
      </c>
      <c r="L202" s="4">
        <f>Table157[[#This Row],[Period]]+$E$9</f>
        <v>198</v>
      </c>
      <c r="M202" s="32">
        <f>Table157[[#This Row],[Defaulted Principal]]-Table157[[#This Row],[Estimated Loss]]</f>
        <v>0</v>
      </c>
      <c r="N202" s="32">
        <f>IFERROR(VLOOKUP(Table157[[#This Row],[Period]],$L$16:$M$385,2,FALSE),0)</f>
        <v>0</v>
      </c>
      <c r="O202" s="32">
        <f>Table157[[#This Row],[Beginning Balance]]-Table157[[#This Row],[Principal]]-Table157[[#This Row],[Prepayments]]-Table157[[#This Row],[Defaulted Principal]]</f>
        <v>0</v>
      </c>
      <c r="P202" s="32">
        <f>Table157[[#This Row],[Principal]]+Table157[[#This Row],[Interest]]+Table157[[#This Row],[Prepayments]]+Table157[[#This Row],[RecoveredAmount]]</f>
        <v>0</v>
      </c>
      <c r="Q202" s="32">
        <f ca="1">ROUND(Table157[[#This Row],[Cash Flow]]/((1+ActualRateToUse)^(IF(ISNUMBER(SEARCH("Actual",$C$7)),Table157[[#This Row],[Running Total]]/365,Table157[[#This Row],[Period]]/12))),2)</f>
        <v>0</v>
      </c>
      <c r="R202" s="4">
        <f>IF(MONTH(Table157[[#This Row],[Date]])=2,28,DAY(DATE(YEAR(Table157[[#This Row],[Date]]),MONTH(Table157[[#This Row],[Date]])+1,1)-1))</f>
        <v>31</v>
      </c>
      <c r="S202" s="4">
        <f ca="1">SUM(OFFSET(Table157[[#Headers],[Days in month]],1,0):Table157[[#This Row],[Days in month]])</f>
        <v>5659</v>
      </c>
      <c r="T202" s="30">
        <f>InterestRate*AmortizationMultiplier*IF(ISNUMBER(SEARCH("Actual",$C$7)),Table157[[#This Row],[Days in month]]/365,1/12)</f>
        <v>2.9708333333333331E-3</v>
      </c>
    </row>
    <row r="203" spans="2:20" x14ac:dyDescent="0.2">
      <c r="B203" s="41">
        <f t="shared" ref="B203:B266" si="10">EOMONTH(B202,1)</f>
        <v>51532</v>
      </c>
      <c r="C203" s="4">
        <f t="shared" si="8"/>
        <v>187</v>
      </c>
      <c r="D203" s="32">
        <f t="shared" si="7"/>
        <v>0</v>
      </c>
      <c r="E203" s="32">
        <f>ROUND(Table157[[#This Row],[Beginning Balance]]*Table157[[#This Row],[Monthly Interest Rate]],2)</f>
        <v>0</v>
      </c>
      <c r="F203" s="32">
        <f t="shared" si="9"/>
        <v>69</v>
      </c>
      <c r="G203" s="45">
        <f>IFERROR(IF($C$13="No","N/A",IF(Table157[[#This Row],[Period]]=1,$C$6,PMT(InterestRate*AmortizationMultiplier/12,Table157[[#This Row],[Am Thru]],-Table157[[#This Row],[Beginning Balance]]))),0)</f>
        <v>0</v>
      </c>
      <c r="H203" s="32">
        <f>MAX(0,IF(C203=$C$4,D203,ROUND(IF($C$3="Fixed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3" s="32">
        <f>ROUND(Table157[[#This Row],[Defaulted Principal]]*IF($C$9="No",$E$4,VLOOKUP(Table157[[#This Row],[Period]],[1]Forecast!$H$2:$L$1048576,3,FALSE)),2)</f>
        <v>0</v>
      </c>
      <c r="L203" s="4">
        <f>Table157[[#This Row],[Period]]+$E$9</f>
        <v>199</v>
      </c>
      <c r="M203" s="32">
        <f>Table157[[#This Row],[Defaulted Principal]]-Table157[[#This Row],[Estimated Loss]]</f>
        <v>0</v>
      </c>
      <c r="N203" s="32">
        <f>IFERROR(VLOOKUP(Table157[[#This Row],[Period]],$L$16:$M$385,2,FALSE),0)</f>
        <v>0</v>
      </c>
      <c r="O203" s="32">
        <f>Table157[[#This Row],[Beginning Balance]]-Table157[[#This Row],[Principal]]-Table157[[#This Row],[Prepayments]]-Table157[[#This Row],[Defaulted Principal]]</f>
        <v>0</v>
      </c>
      <c r="P203" s="32">
        <f>Table157[[#This Row],[Principal]]+Table157[[#This Row],[Interest]]+Table157[[#This Row],[Prepayments]]+Table157[[#This Row],[RecoveredAmount]]</f>
        <v>0</v>
      </c>
      <c r="Q203" s="32">
        <f ca="1">ROUND(Table157[[#This Row],[Cash Flow]]/((1+ActualRateToUse)^(IF(ISNUMBER(SEARCH("Actual",$C$7)),Table157[[#This Row],[Running Total]]/365,Table157[[#This Row],[Period]]/12))),2)</f>
        <v>0</v>
      </c>
      <c r="R203" s="4">
        <f>IF(MONTH(Table157[[#This Row],[Date]])=2,28,DAY(DATE(YEAR(Table157[[#This Row],[Date]]),MONTH(Table157[[#This Row],[Date]])+1,1)-1))</f>
        <v>31</v>
      </c>
      <c r="S203" s="4">
        <f ca="1">SUM(OFFSET(Table157[[#Headers],[Days in month]],1,0):Table157[[#This Row],[Days in month]])</f>
        <v>5690</v>
      </c>
      <c r="T203" s="30">
        <f>InterestRate*AmortizationMultiplier*IF(ISNUMBER(SEARCH("Actual",$C$7)),Table157[[#This Row],[Days in month]]/365,1/12)</f>
        <v>2.9708333333333331E-3</v>
      </c>
    </row>
    <row r="204" spans="2:20" x14ac:dyDescent="0.2">
      <c r="B204" s="41">
        <f t="shared" si="10"/>
        <v>51560</v>
      </c>
      <c r="C204" s="4">
        <f t="shared" si="8"/>
        <v>188</v>
      </c>
      <c r="D204" s="32">
        <f t="shared" si="7"/>
        <v>0</v>
      </c>
      <c r="E204" s="32">
        <f>ROUND(Table157[[#This Row],[Beginning Balance]]*Table157[[#This Row],[Monthly Interest Rate]],2)</f>
        <v>0</v>
      </c>
      <c r="F204" s="32">
        <f t="shared" si="9"/>
        <v>68</v>
      </c>
      <c r="G204" s="45">
        <f>IFERROR(IF($C$13="No","N/A",IF(Table157[[#This Row],[Period]]=1,$C$6,PMT(InterestRate*AmortizationMultiplier/12,Table157[[#This Row],[Am Thru]],-Table157[[#This Row],[Beginning Balance]]))),0)</f>
        <v>0</v>
      </c>
      <c r="H204" s="32">
        <f>MAX(0,IF(C204=$C$4,D204,ROUND(IF($C$3="Fixed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4" s="32">
        <f>ROUND(Table157[[#This Row],[Defaulted Principal]]*IF($C$9="No",$E$4,VLOOKUP(Table157[[#This Row],[Period]],[1]Forecast!$H$2:$L$1048576,3,FALSE)),2)</f>
        <v>0</v>
      </c>
      <c r="L204" s="4">
        <f>Table157[[#This Row],[Period]]+$E$9</f>
        <v>200</v>
      </c>
      <c r="M204" s="32">
        <f>Table157[[#This Row],[Defaulted Principal]]-Table157[[#This Row],[Estimated Loss]]</f>
        <v>0</v>
      </c>
      <c r="N204" s="32">
        <f>IFERROR(VLOOKUP(Table157[[#This Row],[Period]],$L$16:$M$385,2,FALSE),0)</f>
        <v>0</v>
      </c>
      <c r="O204" s="32">
        <f>Table157[[#This Row],[Beginning Balance]]-Table157[[#This Row],[Principal]]-Table157[[#This Row],[Prepayments]]-Table157[[#This Row],[Defaulted Principal]]</f>
        <v>0</v>
      </c>
      <c r="P204" s="32">
        <f>Table157[[#This Row],[Principal]]+Table157[[#This Row],[Interest]]+Table157[[#This Row],[Prepayments]]+Table157[[#This Row],[RecoveredAmount]]</f>
        <v>0</v>
      </c>
      <c r="Q204" s="32">
        <f ca="1">ROUND(Table157[[#This Row],[Cash Flow]]/((1+ActualRateToUse)^(IF(ISNUMBER(SEARCH("Actual",$C$7)),Table157[[#This Row],[Running Total]]/365,Table157[[#This Row],[Period]]/12))),2)</f>
        <v>0</v>
      </c>
      <c r="R204" s="4">
        <f>IF(MONTH(Table157[[#This Row],[Date]])=2,28,DAY(DATE(YEAR(Table157[[#This Row],[Date]]),MONTH(Table157[[#This Row],[Date]])+1,1)-1))</f>
        <v>28</v>
      </c>
      <c r="S204" s="4">
        <f ca="1">SUM(OFFSET(Table157[[#Headers],[Days in month]],1,0):Table157[[#This Row],[Days in month]])</f>
        <v>5718</v>
      </c>
      <c r="T204" s="30">
        <f>InterestRate*AmortizationMultiplier*IF(ISNUMBER(SEARCH("Actual",$C$7)),Table157[[#This Row],[Days in month]]/365,1/12)</f>
        <v>2.6833333333333336E-3</v>
      </c>
    </row>
    <row r="205" spans="2:20" x14ac:dyDescent="0.2">
      <c r="B205" s="41">
        <f t="shared" si="10"/>
        <v>51591</v>
      </c>
      <c r="C205" s="4">
        <f t="shared" si="8"/>
        <v>189</v>
      </c>
      <c r="D205" s="32">
        <f t="shared" si="7"/>
        <v>0</v>
      </c>
      <c r="E205" s="32">
        <f>ROUND(Table157[[#This Row],[Beginning Balance]]*Table157[[#This Row],[Monthly Interest Rate]],2)</f>
        <v>0</v>
      </c>
      <c r="F205" s="32">
        <f t="shared" si="9"/>
        <v>67</v>
      </c>
      <c r="G205" s="45">
        <f>IFERROR(IF($C$13="No","N/A",IF(Table157[[#This Row],[Period]]=1,$C$6,PMT(InterestRate*AmortizationMultiplier/12,Table157[[#This Row],[Am Thru]],-Table157[[#This Row],[Beginning Balance]]))),0)</f>
        <v>0</v>
      </c>
      <c r="H205" s="32">
        <f>MAX(0,IF(C205=$C$4,D205,ROUND(IF($C$3="Fixed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5" s="32">
        <f>ROUND(Table157[[#This Row],[Defaulted Principal]]*IF($C$9="No",$E$4,VLOOKUP(Table157[[#This Row],[Period]],[1]Forecast!$H$2:$L$1048576,3,FALSE)),2)</f>
        <v>0</v>
      </c>
      <c r="L205" s="4">
        <f>Table157[[#This Row],[Period]]+$E$9</f>
        <v>201</v>
      </c>
      <c r="M205" s="32">
        <f>Table157[[#This Row],[Defaulted Principal]]-Table157[[#This Row],[Estimated Loss]]</f>
        <v>0</v>
      </c>
      <c r="N205" s="32">
        <f>IFERROR(VLOOKUP(Table157[[#This Row],[Period]],$L$16:$M$385,2,FALSE),0)</f>
        <v>0</v>
      </c>
      <c r="O205" s="32">
        <f>Table157[[#This Row],[Beginning Balance]]-Table157[[#This Row],[Principal]]-Table157[[#This Row],[Prepayments]]-Table157[[#This Row],[Defaulted Principal]]</f>
        <v>0</v>
      </c>
      <c r="P205" s="32">
        <f>Table157[[#This Row],[Principal]]+Table157[[#This Row],[Interest]]+Table157[[#This Row],[Prepayments]]+Table157[[#This Row],[RecoveredAmount]]</f>
        <v>0</v>
      </c>
      <c r="Q205" s="32">
        <f ca="1">ROUND(Table157[[#This Row],[Cash Flow]]/((1+ActualRateToUse)^(IF(ISNUMBER(SEARCH("Actual",$C$7)),Table157[[#This Row],[Running Total]]/365,Table157[[#This Row],[Period]]/12))),2)</f>
        <v>0</v>
      </c>
      <c r="R205" s="4">
        <f>IF(MONTH(Table157[[#This Row],[Date]])=2,28,DAY(DATE(YEAR(Table157[[#This Row],[Date]]),MONTH(Table157[[#This Row],[Date]])+1,1)-1))</f>
        <v>31</v>
      </c>
      <c r="S205" s="4">
        <f ca="1">SUM(OFFSET(Table157[[#Headers],[Days in month]],1,0):Table157[[#This Row],[Days in month]])</f>
        <v>5749</v>
      </c>
      <c r="T205" s="30">
        <f>InterestRate*AmortizationMultiplier*IF(ISNUMBER(SEARCH("Actual",$C$7)),Table157[[#This Row],[Days in month]]/365,1/12)</f>
        <v>2.9708333333333331E-3</v>
      </c>
    </row>
    <row r="206" spans="2:20" x14ac:dyDescent="0.2">
      <c r="B206" s="41">
        <f t="shared" si="10"/>
        <v>51621</v>
      </c>
      <c r="C206" s="4">
        <f t="shared" si="8"/>
        <v>190</v>
      </c>
      <c r="D206" s="32">
        <f t="shared" si="7"/>
        <v>0</v>
      </c>
      <c r="E206" s="32">
        <f>ROUND(Table157[[#This Row],[Beginning Balance]]*Table157[[#This Row],[Monthly Interest Rate]],2)</f>
        <v>0</v>
      </c>
      <c r="F206" s="32">
        <f t="shared" si="9"/>
        <v>66</v>
      </c>
      <c r="G206" s="45">
        <f>IFERROR(IF($C$13="No","N/A",IF(Table157[[#This Row],[Period]]=1,$C$6,PMT(InterestRate*AmortizationMultiplier/12,Table157[[#This Row],[Am Thru]],-Table157[[#This Row],[Beginning Balance]]))),0)</f>
        <v>0</v>
      </c>
      <c r="H206" s="32">
        <f>MAX(0,IF(C206=$C$4,D206,ROUND(IF($C$3="Fixed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6" s="32">
        <f>ROUND(Table157[[#This Row],[Defaulted Principal]]*IF($C$9="No",$E$4,VLOOKUP(Table157[[#This Row],[Period]],[1]Forecast!$H$2:$L$1048576,3,FALSE)),2)</f>
        <v>0</v>
      </c>
      <c r="L206" s="4">
        <f>Table157[[#This Row],[Period]]+$E$9</f>
        <v>202</v>
      </c>
      <c r="M206" s="32">
        <f>Table157[[#This Row],[Defaulted Principal]]-Table157[[#This Row],[Estimated Loss]]</f>
        <v>0</v>
      </c>
      <c r="N206" s="32">
        <f>IFERROR(VLOOKUP(Table157[[#This Row],[Period]],$L$16:$M$385,2,FALSE),0)</f>
        <v>0</v>
      </c>
      <c r="O206" s="32">
        <f>Table157[[#This Row],[Beginning Balance]]-Table157[[#This Row],[Principal]]-Table157[[#This Row],[Prepayments]]-Table157[[#This Row],[Defaulted Principal]]</f>
        <v>0</v>
      </c>
      <c r="P206" s="32">
        <f>Table157[[#This Row],[Principal]]+Table157[[#This Row],[Interest]]+Table157[[#This Row],[Prepayments]]+Table157[[#This Row],[RecoveredAmount]]</f>
        <v>0</v>
      </c>
      <c r="Q206" s="32">
        <f ca="1">ROUND(Table157[[#This Row],[Cash Flow]]/((1+ActualRateToUse)^(IF(ISNUMBER(SEARCH("Actual",$C$7)),Table157[[#This Row],[Running Total]]/365,Table157[[#This Row],[Period]]/12))),2)</f>
        <v>0</v>
      </c>
      <c r="R206" s="4">
        <f>IF(MONTH(Table157[[#This Row],[Date]])=2,28,DAY(DATE(YEAR(Table157[[#This Row],[Date]]),MONTH(Table157[[#This Row],[Date]])+1,1)-1))</f>
        <v>30</v>
      </c>
      <c r="S206" s="4">
        <f ca="1">SUM(OFFSET(Table157[[#Headers],[Days in month]],1,0):Table157[[#This Row],[Days in month]])</f>
        <v>5779</v>
      </c>
      <c r="T206" s="30">
        <f>InterestRate*AmortizationMultiplier*IF(ISNUMBER(SEARCH("Actual",$C$7)),Table157[[#This Row],[Days in month]]/365,1/12)</f>
        <v>2.8749999999999995E-3</v>
      </c>
    </row>
    <row r="207" spans="2:20" x14ac:dyDescent="0.2">
      <c r="B207" s="41">
        <f t="shared" si="10"/>
        <v>51652</v>
      </c>
      <c r="C207" s="4">
        <f t="shared" si="8"/>
        <v>191</v>
      </c>
      <c r="D207" s="32">
        <f t="shared" si="7"/>
        <v>0</v>
      </c>
      <c r="E207" s="32">
        <f>ROUND(Table157[[#This Row],[Beginning Balance]]*Table157[[#This Row],[Monthly Interest Rate]],2)</f>
        <v>0</v>
      </c>
      <c r="F207" s="32">
        <f t="shared" si="9"/>
        <v>65</v>
      </c>
      <c r="G207" s="45">
        <f>IFERROR(IF($C$13="No","N/A",IF(Table157[[#This Row],[Period]]=1,$C$6,PMT(InterestRate*AmortizationMultiplier/12,Table157[[#This Row],[Am Thru]],-Table157[[#This Row],[Beginning Balance]]))),0)</f>
        <v>0</v>
      </c>
      <c r="H207" s="32">
        <f>MAX(0,IF(C207=$C$4,D207,ROUND(IF($C$3="Fixed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7" s="32">
        <f>ROUND(Table157[[#This Row],[Defaulted Principal]]*IF($C$9="No",$E$4,VLOOKUP(Table157[[#This Row],[Period]],[1]Forecast!$H$2:$L$1048576,3,FALSE)),2)</f>
        <v>0</v>
      </c>
      <c r="L207" s="4">
        <f>Table157[[#This Row],[Period]]+$E$9</f>
        <v>203</v>
      </c>
      <c r="M207" s="32">
        <f>Table157[[#This Row],[Defaulted Principal]]-Table157[[#This Row],[Estimated Loss]]</f>
        <v>0</v>
      </c>
      <c r="N207" s="32">
        <f>IFERROR(VLOOKUP(Table157[[#This Row],[Period]],$L$16:$M$385,2,FALSE),0)</f>
        <v>0</v>
      </c>
      <c r="O207" s="32">
        <f>Table157[[#This Row],[Beginning Balance]]-Table157[[#This Row],[Principal]]-Table157[[#This Row],[Prepayments]]-Table157[[#This Row],[Defaulted Principal]]</f>
        <v>0</v>
      </c>
      <c r="P207" s="32">
        <f>Table157[[#This Row],[Principal]]+Table157[[#This Row],[Interest]]+Table157[[#This Row],[Prepayments]]+Table157[[#This Row],[RecoveredAmount]]</f>
        <v>0</v>
      </c>
      <c r="Q207" s="32">
        <f ca="1">ROUND(Table157[[#This Row],[Cash Flow]]/((1+ActualRateToUse)^(IF(ISNUMBER(SEARCH("Actual",$C$7)),Table157[[#This Row],[Running Total]]/365,Table157[[#This Row],[Period]]/12))),2)</f>
        <v>0</v>
      </c>
      <c r="R207" s="4">
        <f>IF(MONTH(Table157[[#This Row],[Date]])=2,28,DAY(DATE(YEAR(Table157[[#This Row],[Date]]),MONTH(Table157[[#This Row],[Date]])+1,1)-1))</f>
        <v>31</v>
      </c>
      <c r="S207" s="4">
        <f ca="1">SUM(OFFSET(Table157[[#Headers],[Days in month]],1,0):Table157[[#This Row],[Days in month]])</f>
        <v>5810</v>
      </c>
      <c r="T207" s="30">
        <f>InterestRate*AmortizationMultiplier*IF(ISNUMBER(SEARCH("Actual",$C$7)),Table157[[#This Row],[Days in month]]/365,1/12)</f>
        <v>2.9708333333333331E-3</v>
      </c>
    </row>
    <row r="208" spans="2:20" x14ac:dyDescent="0.2">
      <c r="B208" s="41">
        <f t="shared" si="10"/>
        <v>51682</v>
      </c>
      <c r="C208" s="4">
        <f t="shared" si="8"/>
        <v>192</v>
      </c>
      <c r="D208" s="32">
        <f t="shared" si="7"/>
        <v>0</v>
      </c>
      <c r="E208" s="32">
        <f>ROUND(Table157[[#This Row],[Beginning Balance]]*Table157[[#This Row],[Monthly Interest Rate]],2)</f>
        <v>0</v>
      </c>
      <c r="F208" s="32">
        <f t="shared" si="9"/>
        <v>64</v>
      </c>
      <c r="G208" s="45">
        <f>IFERROR(IF($C$13="No","N/A",IF(Table157[[#This Row],[Period]]=1,$C$6,PMT(InterestRate*AmortizationMultiplier/12,Table157[[#This Row],[Am Thru]],-Table157[[#This Row],[Beginning Balance]]))),0)</f>
        <v>0</v>
      </c>
      <c r="H208" s="32">
        <f>MAX(0,IF(C208=$C$4,D208,ROUND(IF($C$3="Fixed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8" s="32">
        <f>ROUND(Table157[[#This Row],[Defaulted Principal]]*IF($C$9="No",$E$4,VLOOKUP(Table157[[#This Row],[Period]],[1]Forecast!$H$2:$L$1048576,3,FALSE)),2)</f>
        <v>0</v>
      </c>
      <c r="L208" s="4">
        <f>Table157[[#This Row],[Period]]+$E$9</f>
        <v>204</v>
      </c>
      <c r="M208" s="32">
        <f>Table157[[#This Row],[Defaulted Principal]]-Table157[[#This Row],[Estimated Loss]]</f>
        <v>0</v>
      </c>
      <c r="N208" s="32">
        <f>IFERROR(VLOOKUP(Table157[[#This Row],[Period]],$L$16:$M$385,2,FALSE),0)</f>
        <v>0</v>
      </c>
      <c r="O208" s="32">
        <f>Table157[[#This Row],[Beginning Balance]]-Table157[[#This Row],[Principal]]-Table157[[#This Row],[Prepayments]]-Table157[[#This Row],[Defaulted Principal]]</f>
        <v>0</v>
      </c>
      <c r="P208" s="32">
        <f>Table157[[#This Row],[Principal]]+Table157[[#This Row],[Interest]]+Table157[[#This Row],[Prepayments]]+Table157[[#This Row],[RecoveredAmount]]</f>
        <v>0</v>
      </c>
      <c r="Q208" s="32">
        <f ca="1">ROUND(Table157[[#This Row],[Cash Flow]]/((1+ActualRateToUse)^(IF(ISNUMBER(SEARCH("Actual",$C$7)),Table157[[#This Row],[Running Total]]/365,Table157[[#This Row],[Period]]/12))),2)</f>
        <v>0</v>
      </c>
      <c r="R208" s="4">
        <f>IF(MONTH(Table157[[#This Row],[Date]])=2,28,DAY(DATE(YEAR(Table157[[#This Row],[Date]]),MONTH(Table157[[#This Row],[Date]])+1,1)-1))</f>
        <v>30</v>
      </c>
      <c r="S208" s="4">
        <f ca="1">SUM(OFFSET(Table157[[#Headers],[Days in month]],1,0):Table157[[#This Row],[Days in month]])</f>
        <v>5840</v>
      </c>
      <c r="T208" s="30">
        <f>InterestRate*AmortizationMultiplier*IF(ISNUMBER(SEARCH("Actual",$C$7)),Table157[[#This Row],[Days in month]]/365,1/12)</f>
        <v>2.8749999999999995E-3</v>
      </c>
    </row>
    <row r="209" spans="2:20" x14ac:dyDescent="0.2">
      <c r="B209" s="41">
        <f t="shared" si="10"/>
        <v>51713</v>
      </c>
      <c r="C209" s="4">
        <f t="shared" si="8"/>
        <v>193</v>
      </c>
      <c r="D209" s="32">
        <f t="shared" si="7"/>
        <v>0</v>
      </c>
      <c r="E209" s="32">
        <f>ROUND(Table157[[#This Row],[Beginning Balance]]*Table157[[#This Row],[Monthly Interest Rate]],2)</f>
        <v>0</v>
      </c>
      <c r="F209" s="32">
        <f t="shared" si="9"/>
        <v>63</v>
      </c>
      <c r="G209" s="45">
        <f>IFERROR(IF($C$13="No","N/A",IF(Table157[[#This Row],[Period]]=1,$C$6,PMT(InterestRate*AmortizationMultiplier/12,Table157[[#This Row],[Am Thru]],-Table157[[#This Row],[Beginning Balance]]))),0)</f>
        <v>0</v>
      </c>
      <c r="H209" s="32">
        <f>MAX(0,IF(C209=$C$4,D209,ROUND(IF($C$3="Fixed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0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0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09" s="32">
        <f>ROUND(Table157[[#This Row],[Defaulted Principal]]*IF($C$9="No",$E$4,VLOOKUP(Table157[[#This Row],[Period]],[1]Forecast!$H$2:$L$1048576,3,FALSE)),2)</f>
        <v>0</v>
      </c>
      <c r="L209" s="4">
        <f>Table157[[#This Row],[Period]]+$E$9</f>
        <v>205</v>
      </c>
      <c r="M209" s="32">
        <f>Table157[[#This Row],[Defaulted Principal]]-Table157[[#This Row],[Estimated Loss]]</f>
        <v>0</v>
      </c>
      <c r="N209" s="32">
        <f>IFERROR(VLOOKUP(Table157[[#This Row],[Period]],$L$16:$M$385,2,FALSE),0)</f>
        <v>0</v>
      </c>
      <c r="O209" s="32">
        <f>Table157[[#This Row],[Beginning Balance]]-Table157[[#This Row],[Principal]]-Table157[[#This Row],[Prepayments]]-Table157[[#This Row],[Defaulted Principal]]</f>
        <v>0</v>
      </c>
      <c r="P209" s="32">
        <f>Table157[[#This Row],[Principal]]+Table157[[#This Row],[Interest]]+Table157[[#This Row],[Prepayments]]+Table157[[#This Row],[RecoveredAmount]]</f>
        <v>0</v>
      </c>
      <c r="Q209" s="32">
        <f ca="1">ROUND(Table157[[#This Row],[Cash Flow]]/((1+ActualRateToUse)^(IF(ISNUMBER(SEARCH("Actual",$C$7)),Table157[[#This Row],[Running Total]]/365,Table157[[#This Row],[Period]]/12))),2)</f>
        <v>0</v>
      </c>
      <c r="R209" s="4">
        <f>IF(MONTH(Table157[[#This Row],[Date]])=2,28,DAY(DATE(YEAR(Table157[[#This Row],[Date]]),MONTH(Table157[[#This Row],[Date]])+1,1)-1))</f>
        <v>31</v>
      </c>
      <c r="S209" s="4">
        <f ca="1">SUM(OFFSET(Table157[[#Headers],[Days in month]],1,0):Table157[[#This Row],[Days in month]])</f>
        <v>5871</v>
      </c>
      <c r="T209" s="30">
        <f>InterestRate*AmortizationMultiplier*IF(ISNUMBER(SEARCH("Actual",$C$7)),Table157[[#This Row],[Days in month]]/365,1/12)</f>
        <v>2.9708333333333331E-3</v>
      </c>
    </row>
    <row r="210" spans="2:20" x14ac:dyDescent="0.2">
      <c r="B210" s="41">
        <f t="shared" si="10"/>
        <v>51744</v>
      </c>
      <c r="C210" s="4">
        <f t="shared" si="8"/>
        <v>194</v>
      </c>
      <c r="D210" s="32">
        <f t="shared" ref="D210:D273" si="11">O209</f>
        <v>0</v>
      </c>
      <c r="E210" s="32">
        <f>ROUND(Table157[[#This Row],[Beginning Balance]]*Table157[[#This Row],[Monthly Interest Rate]],2)</f>
        <v>0</v>
      </c>
      <c r="F210" s="32">
        <f t="shared" si="9"/>
        <v>62</v>
      </c>
      <c r="G210" s="45">
        <f>IFERROR(IF($C$13="No","N/A",IF(Table157[[#This Row],[Period]]=1,$C$6,PMT(InterestRate*AmortizationMultiplier/12,Table157[[#This Row],[Am Thru]],-Table157[[#This Row],[Beginning Balance]]))),0)</f>
        <v>0</v>
      </c>
      <c r="H210" s="32">
        <f>MAX(0,IF(C210=$C$4,D210,ROUND(IF($C$3="Fixed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0" s="32">
        <f>ROUND(Table157[[#This Row],[Defaulted Principal]]*IF($C$9="No",$E$4,VLOOKUP(Table157[[#This Row],[Period]],[1]Forecast!$H$2:$L$1048576,3,FALSE)),2)</f>
        <v>0</v>
      </c>
      <c r="L210" s="4">
        <f>Table157[[#This Row],[Period]]+$E$9</f>
        <v>206</v>
      </c>
      <c r="M210" s="32">
        <f>Table157[[#This Row],[Defaulted Principal]]-Table157[[#This Row],[Estimated Loss]]</f>
        <v>0</v>
      </c>
      <c r="N210" s="32">
        <f>IFERROR(VLOOKUP(Table157[[#This Row],[Period]],$L$16:$M$385,2,FALSE),0)</f>
        <v>0</v>
      </c>
      <c r="O210" s="32">
        <f>Table157[[#This Row],[Beginning Balance]]-Table157[[#This Row],[Principal]]-Table157[[#This Row],[Prepayments]]-Table157[[#This Row],[Defaulted Principal]]</f>
        <v>0</v>
      </c>
      <c r="P210" s="32">
        <f>Table157[[#This Row],[Principal]]+Table157[[#This Row],[Interest]]+Table157[[#This Row],[Prepayments]]+Table157[[#This Row],[RecoveredAmount]]</f>
        <v>0</v>
      </c>
      <c r="Q210" s="32">
        <f ca="1">ROUND(Table157[[#This Row],[Cash Flow]]/((1+ActualRateToUse)^(IF(ISNUMBER(SEARCH("Actual",$C$7)),Table157[[#This Row],[Running Total]]/365,Table157[[#This Row],[Period]]/12))),2)</f>
        <v>0</v>
      </c>
      <c r="R210" s="4">
        <f>IF(MONTH(Table157[[#This Row],[Date]])=2,28,DAY(DATE(YEAR(Table157[[#This Row],[Date]]),MONTH(Table157[[#This Row],[Date]])+1,1)-1))</f>
        <v>31</v>
      </c>
      <c r="S210" s="4">
        <f ca="1">SUM(OFFSET(Table157[[#Headers],[Days in month]],1,0):Table157[[#This Row],[Days in month]])</f>
        <v>5902</v>
      </c>
      <c r="T210" s="30">
        <f>InterestRate*AmortizationMultiplier*IF(ISNUMBER(SEARCH("Actual",$C$7)),Table157[[#This Row],[Days in month]]/365,1/12)</f>
        <v>2.9708333333333331E-3</v>
      </c>
    </row>
    <row r="211" spans="2:20" x14ac:dyDescent="0.2">
      <c r="B211" s="41">
        <f t="shared" si="10"/>
        <v>51774</v>
      </c>
      <c r="C211" s="4">
        <f t="shared" ref="C211:C274" si="12">C210+1</f>
        <v>195</v>
      </c>
      <c r="D211" s="32">
        <f t="shared" si="11"/>
        <v>0</v>
      </c>
      <c r="E211" s="32">
        <f>ROUND(Table157[[#This Row],[Beginning Balance]]*Table157[[#This Row],[Monthly Interest Rate]],2)</f>
        <v>0</v>
      </c>
      <c r="F211" s="32">
        <f t="shared" ref="F211:F274" si="13">+F210-1</f>
        <v>61</v>
      </c>
      <c r="G211" s="45">
        <f>IFERROR(IF($C$13="No","N/A",IF(Table157[[#This Row],[Period]]=1,$C$6,PMT(InterestRate*AmortizationMultiplier/12,Table157[[#This Row],[Am Thru]],-Table157[[#This Row],[Beginning Balance]]))),0)</f>
        <v>0</v>
      </c>
      <c r="H211" s="32">
        <f>MAX(0,IF(C211=$C$4,D211,ROUND(IF($C$3="Fixed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1" s="32">
        <f>ROUND(Table157[[#This Row],[Defaulted Principal]]*IF($C$9="No",$E$4,VLOOKUP(Table157[[#This Row],[Period]],[1]Forecast!$H$2:$L$1048576,3,FALSE)),2)</f>
        <v>0</v>
      </c>
      <c r="L211" s="4">
        <f>Table157[[#This Row],[Period]]+$E$9</f>
        <v>207</v>
      </c>
      <c r="M211" s="32">
        <f>Table157[[#This Row],[Defaulted Principal]]-Table157[[#This Row],[Estimated Loss]]</f>
        <v>0</v>
      </c>
      <c r="N211" s="32">
        <f>IFERROR(VLOOKUP(Table157[[#This Row],[Period]],$L$16:$M$385,2,FALSE),0)</f>
        <v>0</v>
      </c>
      <c r="O211" s="32">
        <f>Table157[[#This Row],[Beginning Balance]]-Table157[[#This Row],[Principal]]-Table157[[#This Row],[Prepayments]]-Table157[[#This Row],[Defaulted Principal]]</f>
        <v>0</v>
      </c>
      <c r="P211" s="32">
        <f>Table157[[#This Row],[Principal]]+Table157[[#This Row],[Interest]]+Table157[[#This Row],[Prepayments]]+Table157[[#This Row],[RecoveredAmount]]</f>
        <v>0</v>
      </c>
      <c r="Q211" s="32">
        <f ca="1">ROUND(Table157[[#This Row],[Cash Flow]]/((1+ActualRateToUse)^(IF(ISNUMBER(SEARCH("Actual",$C$7)),Table157[[#This Row],[Running Total]]/365,Table157[[#This Row],[Period]]/12))),2)</f>
        <v>0</v>
      </c>
      <c r="R211" s="4">
        <f>IF(MONTH(Table157[[#This Row],[Date]])=2,28,DAY(DATE(YEAR(Table157[[#This Row],[Date]]),MONTH(Table157[[#This Row],[Date]])+1,1)-1))</f>
        <v>30</v>
      </c>
      <c r="S211" s="4">
        <f ca="1">SUM(OFFSET(Table157[[#Headers],[Days in month]],1,0):Table157[[#This Row],[Days in month]])</f>
        <v>5932</v>
      </c>
      <c r="T211" s="30">
        <f>InterestRate*AmortizationMultiplier*IF(ISNUMBER(SEARCH("Actual",$C$7)),Table157[[#This Row],[Days in month]]/365,1/12)</f>
        <v>2.8749999999999995E-3</v>
      </c>
    </row>
    <row r="212" spans="2:20" x14ac:dyDescent="0.2">
      <c r="B212" s="41">
        <f t="shared" si="10"/>
        <v>51805</v>
      </c>
      <c r="C212" s="4">
        <f t="shared" si="12"/>
        <v>196</v>
      </c>
      <c r="D212" s="32">
        <f t="shared" si="11"/>
        <v>0</v>
      </c>
      <c r="E212" s="32">
        <f>ROUND(Table157[[#This Row],[Beginning Balance]]*Table157[[#This Row],[Monthly Interest Rate]],2)</f>
        <v>0</v>
      </c>
      <c r="F212" s="32">
        <f t="shared" si="13"/>
        <v>60</v>
      </c>
      <c r="G212" s="45">
        <f>IFERROR(IF($C$13="No","N/A",IF(Table157[[#This Row],[Period]]=1,$C$6,PMT(InterestRate*AmortizationMultiplier/12,Table157[[#This Row],[Am Thru]],-Table157[[#This Row],[Beginning Balance]]))),0)</f>
        <v>0</v>
      </c>
      <c r="H212" s="32">
        <f>MAX(0,IF(C212=$C$4,D212,ROUND(IF($C$3="Fixed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2" s="32">
        <f>ROUND(Table157[[#This Row],[Defaulted Principal]]*IF($C$9="No",$E$4,VLOOKUP(Table157[[#This Row],[Period]],[1]Forecast!$H$2:$L$1048576,3,FALSE)),2)</f>
        <v>0</v>
      </c>
      <c r="L212" s="4">
        <f>Table157[[#This Row],[Period]]+$E$9</f>
        <v>208</v>
      </c>
      <c r="M212" s="32">
        <f>Table157[[#This Row],[Defaulted Principal]]-Table157[[#This Row],[Estimated Loss]]</f>
        <v>0</v>
      </c>
      <c r="N212" s="32">
        <f>IFERROR(VLOOKUP(Table157[[#This Row],[Period]],$L$16:$M$385,2,FALSE),0)</f>
        <v>0</v>
      </c>
      <c r="O212" s="32">
        <f>Table157[[#This Row],[Beginning Balance]]-Table157[[#This Row],[Principal]]-Table157[[#This Row],[Prepayments]]-Table157[[#This Row],[Defaulted Principal]]</f>
        <v>0</v>
      </c>
      <c r="P212" s="32">
        <f>Table157[[#This Row],[Principal]]+Table157[[#This Row],[Interest]]+Table157[[#This Row],[Prepayments]]+Table157[[#This Row],[RecoveredAmount]]</f>
        <v>0</v>
      </c>
      <c r="Q212" s="32">
        <f ca="1">ROUND(Table157[[#This Row],[Cash Flow]]/((1+ActualRateToUse)^(IF(ISNUMBER(SEARCH("Actual",$C$7)),Table157[[#This Row],[Running Total]]/365,Table157[[#This Row],[Period]]/12))),2)</f>
        <v>0</v>
      </c>
      <c r="R212" s="4">
        <f>IF(MONTH(Table157[[#This Row],[Date]])=2,28,DAY(DATE(YEAR(Table157[[#This Row],[Date]]),MONTH(Table157[[#This Row],[Date]])+1,1)-1))</f>
        <v>31</v>
      </c>
      <c r="S212" s="4">
        <f ca="1">SUM(OFFSET(Table157[[#Headers],[Days in month]],1,0):Table157[[#This Row],[Days in month]])</f>
        <v>5963</v>
      </c>
      <c r="T212" s="30">
        <f>InterestRate*AmortizationMultiplier*IF(ISNUMBER(SEARCH("Actual",$C$7)),Table157[[#This Row],[Days in month]]/365,1/12)</f>
        <v>2.9708333333333331E-3</v>
      </c>
    </row>
    <row r="213" spans="2:20" x14ac:dyDescent="0.2">
      <c r="B213" s="41">
        <f t="shared" si="10"/>
        <v>51835</v>
      </c>
      <c r="C213" s="4">
        <f t="shared" si="12"/>
        <v>197</v>
      </c>
      <c r="D213" s="32">
        <f t="shared" si="11"/>
        <v>0</v>
      </c>
      <c r="E213" s="32">
        <f>ROUND(Table157[[#This Row],[Beginning Balance]]*Table157[[#This Row],[Monthly Interest Rate]],2)</f>
        <v>0</v>
      </c>
      <c r="F213" s="32">
        <f t="shared" si="13"/>
        <v>59</v>
      </c>
      <c r="G213" s="45">
        <f>IFERROR(IF($C$13="No","N/A",IF(Table157[[#This Row],[Period]]=1,$C$6,PMT(InterestRate*AmortizationMultiplier/12,Table157[[#This Row],[Am Thru]],-Table157[[#This Row],[Beginning Balance]]))),0)</f>
        <v>0</v>
      </c>
      <c r="H213" s="32">
        <f>MAX(0,IF(C213=$C$4,D213,ROUND(IF($C$3="Fixed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3" s="32">
        <f>ROUND(Table157[[#This Row],[Defaulted Principal]]*IF($C$9="No",$E$4,VLOOKUP(Table157[[#This Row],[Period]],[1]Forecast!$H$2:$L$1048576,3,FALSE)),2)</f>
        <v>0</v>
      </c>
      <c r="L213" s="4">
        <f>Table157[[#This Row],[Period]]+$E$9</f>
        <v>209</v>
      </c>
      <c r="M213" s="32">
        <f>Table157[[#This Row],[Defaulted Principal]]-Table157[[#This Row],[Estimated Loss]]</f>
        <v>0</v>
      </c>
      <c r="N213" s="32">
        <f>IFERROR(VLOOKUP(Table157[[#This Row],[Period]],$L$16:$M$385,2,FALSE),0)</f>
        <v>0</v>
      </c>
      <c r="O213" s="32">
        <f>Table157[[#This Row],[Beginning Balance]]-Table157[[#This Row],[Principal]]-Table157[[#This Row],[Prepayments]]-Table157[[#This Row],[Defaulted Principal]]</f>
        <v>0</v>
      </c>
      <c r="P213" s="32">
        <f>Table157[[#This Row],[Principal]]+Table157[[#This Row],[Interest]]+Table157[[#This Row],[Prepayments]]+Table157[[#This Row],[RecoveredAmount]]</f>
        <v>0</v>
      </c>
      <c r="Q213" s="32">
        <f ca="1">ROUND(Table157[[#This Row],[Cash Flow]]/((1+ActualRateToUse)^(IF(ISNUMBER(SEARCH("Actual",$C$7)),Table157[[#This Row],[Running Total]]/365,Table157[[#This Row],[Period]]/12))),2)</f>
        <v>0</v>
      </c>
      <c r="R213" s="4">
        <f>IF(MONTH(Table157[[#This Row],[Date]])=2,28,DAY(DATE(YEAR(Table157[[#This Row],[Date]]),MONTH(Table157[[#This Row],[Date]])+1,1)-1))</f>
        <v>30</v>
      </c>
      <c r="S213" s="4">
        <f ca="1">SUM(OFFSET(Table157[[#Headers],[Days in month]],1,0):Table157[[#This Row],[Days in month]])</f>
        <v>5993</v>
      </c>
      <c r="T213" s="30">
        <f>InterestRate*AmortizationMultiplier*IF(ISNUMBER(SEARCH("Actual",$C$7)),Table157[[#This Row],[Days in month]]/365,1/12)</f>
        <v>2.8749999999999995E-3</v>
      </c>
    </row>
    <row r="214" spans="2:20" x14ac:dyDescent="0.2">
      <c r="B214" s="41">
        <f t="shared" si="10"/>
        <v>51866</v>
      </c>
      <c r="C214" s="4">
        <f t="shared" si="12"/>
        <v>198</v>
      </c>
      <c r="D214" s="32">
        <f t="shared" si="11"/>
        <v>0</v>
      </c>
      <c r="E214" s="32">
        <f>ROUND(Table157[[#This Row],[Beginning Balance]]*Table157[[#This Row],[Monthly Interest Rate]],2)</f>
        <v>0</v>
      </c>
      <c r="F214" s="32">
        <f t="shared" si="13"/>
        <v>58</v>
      </c>
      <c r="G214" s="45">
        <f>IFERROR(IF($C$13="No","N/A",IF(Table157[[#This Row],[Period]]=1,$C$6,PMT(InterestRate*AmortizationMultiplier/12,Table157[[#This Row],[Am Thru]],-Table157[[#This Row],[Beginning Balance]]))),0)</f>
        <v>0</v>
      </c>
      <c r="H214" s="32">
        <f>MAX(0,IF(C214=$C$4,D214,ROUND(IF($C$3="Fixed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4" s="32">
        <f>ROUND(Table157[[#This Row],[Defaulted Principal]]*IF($C$9="No",$E$4,VLOOKUP(Table157[[#This Row],[Period]],[1]Forecast!$H$2:$L$1048576,3,FALSE)),2)</f>
        <v>0</v>
      </c>
      <c r="L214" s="4">
        <f>Table157[[#This Row],[Period]]+$E$9</f>
        <v>210</v>
      </c>
      <c r="M214" s="32">
        <f>Table157[[#This Row],[Defaulted Principal]]-Table157[[#This Row],[Estimated Loss]]</f>
        <v>0</v>
      </c>
      <c r="N214" s="32">
        <f>IFERROR(VLOOKUP(Table157[[#This Row],[Period]],$L$16:$M$385,2,FALSE),0)</f>
        <v>0</v>
      </c>
      <c r="O214" s="32">
        <f>Table157[[#This Row],[Beginning Balance]]-Table157[[#This Row],[Principal]]-Table157[[#This Row],[Prepayments]]-Table157[[#This Row],[Defaulted Principal]]</f>
        <v>0</v>
      </c>
      <c r="P214" s="32">
        <f>Table157[[#This Row],[Principal]]+Table157[[#This Row],[Interest]]+Table157[[#This Row],[Prepayments]]+Table157[[#This Row],[RecoveredAmount]]</f>
        <v>0</v>
      </c>
      <c r="Q214" s="32">
        <f ca="1">ROUND(Table157[[#This Row],[Cash Flow]]/((1+ActualRateToUse)^(IF(ISNUMBER(SEARCH("Actual",$C$7)),Table157[[#This Row],[Running Total]]/365,Table157[[#This Row],[Period]]/12))),2)</f>
        <v>0</v>
      </c>
      <c r="R214" s="4">
        <f>IF(MONTH(Table157[[#This Row],[Date]])=2,28,DAY(DATE(YEAR(Table157[[#This Row],[Date]]),MONTH(Table157[[#This Row],[Date]])+1,1)-1))</f>
        <v>31</v>
      </c>
      <c r="S214" s="4">
        <f ca="1">SUM(OFFSET(Table157[[#Headers],[Days in month]],1,0):Table157[[#This Row],[Days in month]])</f>
        <v>6024</v>
      </c>
      <c r="T214" s="30">
        <f>InterestRate*AmortizationMultiplier*IF(ISNUMBER(SEARCH("Actual",$C$7)),Table157[[#This Row],[Days in month]]/365,1/12)</f>
        <v>2.9708333333333331E-3</v>
      </c>
    </row>
    <row r="215" spans="2:20" x14ac:dyDescent="0.2">
      <c r="B215" s="41">
        <f t="shared" si="10"/>
        <v>51897</v>
      </c>
      <c r="C215" s="4">
        <f t="shared" si="12"/>
        <v>199</v>
      </c>
      <c r="D215" s="32">
        <f t="shared" si="11"/>
        <v>0</v>
      </c>
      <c r="E215" s="32">
        <f>ROUND(Table157[[#This Row],[Beginning Balance]]*Table157[[#This Row],[Monthly Interest Rate]],2)</f>
        <v>0</v>
      </c>
      <c r="F215" s="32">
        <f t="shared" si="13"/>
        <v>57</v>
      </c>
      <c r="G215" s="45">
        <f>IFERROR(IF($C$13="No","N/A",IF(Table157[[#This Row],[Period]]=1,$C$6,PMT(InterestRate*AmortizationMultiplier/12,Table157[[#This Row],[Am Thru]],-Table157[[#This Row],[Beginning Balance]]))),0)</f>
        <v>0</v>
      </c>
      <c r="H215" s="32">
        <f>MAX(0,IF(C215=$C$4,D215,ROUND(IF($C$3="Fixed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5" s="32">
        <f>ROUND(Table157[[#This Row],[Defaulted Principal]]*IF($C$9="No",$E$4,VLOOKUP(Table157[[#This Row],[Period]],[1]Forecast!$H$2:$L$1048576,3,FALSE)),2)</f>
        <v>0</v>
      </c>
      <c r="L215" s="4">
        <f>Table157[[#This Row],[Period]]+$E$9</f>
        <v>211</v>
      </c>
      <c r="M215" s="32">
        <f>Table157[[#This Row],[Defaulted Principal]]-Table157[[#This Row],[Estimated Loss]]</f>
        <v>0</v>
      </c>
      <c r="N215" s="32">
        <f>IFERROR(VLOOKUP(Table157[[#This Row],[Period]],$L$16:$M$385,2,FALSE),0)</f>
        <v>0</v>
      </c>
      <c r="O215" s="32">
        <f>Table157[[#This Row],[Beginning Balance]]-Table157[[#This Row],[Principal]]-Table157[[#This Row],[Prepayments]]-Table157[[#This Row],[Defaulted Principal]]</f>
        <v>0</v>
      </c>
      <c r="P215" s="32">
        <f>Table157[[#This Row],[Principal]]+Table157[[#This Row],[Interest]]+Table157[[#This Row],[Prepayments]]+Table157[[#This Row],[RecoveredAmount]]</f>
        <v>0</v>
      </c>
      <c r="Q215" s="32">
        <f ca="1">ROUND(Table157[[#This Row],[Cash Flow]]/((1+ActualRateToUse)^(IF(ISNUMBER(SEARCH("Actual",$C$7)),Table157[[#This Row],[Running Total]]/365,Table157[[#This Row],[Period]]/12))),2)</f>
        <v>0</v>
      </c>
      <c r="R215" s="4">
        <f>IF(MONTH(Table157[[#This Row],[Date]])=2,28,DAY(DATE(YEAR(Table157[[#This Row],[Date]]),MONTH(Table157[[#This Row],[Date]])+1,1)-1))</f>
        <v>31</v>
      </c>
      <c r="S215" s="4">
        <f ca="1">SUM(OFFSET(Table157[[#Headers],[Days in month]],1,0):Table157[[#This Row],[Days in month]])</f>
        <v>6055</v>
      </c>
      <c r="T215" s="30">
        <f>InterestRate*AmortizationMultiplier*IF(ISNUMBER(SEARCH("Actual",$C$7)),Table157[[#This Row],[Days in month]]/365,1/12)</f>
        <v>2.9708333333333331E-3</v>
      </c>
    </row>
    <row r="216" spans="2:20" x14ac:dyDescent="0.2">
      <c r="B216" s="41">
        <f t="shared" si="10"/>
        <v>51925</v>
      </c>
      <c r="C216" s="4">
        <f t="shared" si="12"/>
        <v>200</v>
      </c>
      <c r="D216" s="32">
        <f t="shared" si="11"/>
        <v>0</v>
      </c>
      <c r="E216" s="32">
        <f>ROUND(Table157[[#This Row],[Beginning Balance]]*Table157[[#This Row],[Monthly Interest Rate]],2)</f>
        <v>0</v>
      </c>
      <c r="F216" s="32">
        <f t="shared" si="13"/>
        <v>56</v>
      </c>
      <c r="G216" s="45">
        <f>IFERROR(IF($C$13="No","N/A",IF(Table157[[#This Row],[Period]]=1,$C$6,PMT(InterestRate*AmortizationMultiplier/12,Table157[[#This Row],[Am Thru]],-Table157[[#This Row],[Beginning Balance]]))),0)</f>
        <v>0</v>
      </c>
      <c r="H216" s="32">
        <f>MAX(0,IF(C216=$C$4,D216,ROUND(IF($C$3="Fixed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6" s="32">
        <f>ROUND(Table157[[#This Row],[Defaulted Principal]]*IF($C$9="No",$E$4,VLOOKUP(Table157[[#This Row],[Period]],[1]Forecast!$H$2:$L$1048576,3,FALSE)),2)</f>
        <v>0</v>
      </c>
      <c r="L216" s="4">
        <f>Table157[[#This Row],[Period]]+$E$9</f>
        <v>212</v>
      </c>
      <c r="M216" s="32">
        <f>Table157[[#This Row],[Defaulted Principal]]-Table157[[#This Row],[Estimated Loss]]</f>
        <v>0</v>
      </c>
      <c r="N216" s="32">
        <f>IFERROR(VLOOKUP(Table157[[#This Row],[Period]],$L$16:$M$385,2,FALSE),0)</f>
        <v>0</v>
      </c>
      <c r="O216" s="32">
        <f>Table157[[#This Row],[Beginning Balance]]-Table157[[#This Row],[Principal]]-Table157[[#This Row],[Prepayments]]-Table157[[#This Row],[Defaulted Principal]]</f>
        <v>0</v>
      </c>
      <c r="P216" s="32">
        <f>Table157[[#This Row],[Principal]]+Table157[[#This Row],[Interest]]+Table157[[#This Row],[Prepayments]]+Table157[[#This Row],[RecoveredAmount]]</f>
        <v>0</v>
      </c>
      <c r="Q216" s="32">
        <f ca="1">ROUND(Table157[[#This Row],[Cash Flow]]/((1+ActualRateToUse)^(IF(ISNUMBER(SEARCH("Actual",$C$7)),Table157[[#This Row],[Running Total]]/365,Table157[[#This Row],[Period]]/12))),2)</f>
        <v>0</v>
      </c>
      <c r="R216" s="4">
        <f>IF(MONTH(Table157[[#This Row],[Date]])=2,28,DAY(DATE(YEAR(Table157[[#This Row],[Date]]),MONTH(Table157[[#This Row],[Date]])+1,1)-1))</f>
        <v>28</v>
      </c>
      <c r="S216" s="4">
        <f ca="1">SUM(OFFSET(Table157[[#Headers],[Days in month]],1,0):Table157[[#This Row],[Days in month]])</f>
        <v>6083</v>
      </c>
      <c r="T216" s="30">
        <f>InterestRate*AmortizationMultiplier*IF(ISNUMBER(SEARCH("Actual",$C$7)),Table157[[#This Row],[Days in month]]/365,1/12)</f>
        <v>2.6833333333333336E-3</v>
      </c>
    </row>
    <row r="217" spans="2:20" x14ac:dyDescent="0.2">
      <c r="B217" s="41">
        <f t="shared" si="10"/>
        <v>51956</v>
      </c>
      <c r="C217" s="4">
        <f t="shared" si="12"/>
        <v>201</v>
      </c>
      <c r="D217" s="32">
        <f t="shared" si="11"/>
        <v>0</v>
      </c>
      <c r="E217" s="32">
        <f>ROUND(Table157[[#This Row],[Beginning Balance]]*Table157[[#This Row],[Monthly Interest Rate]],2)</f>
        <v>0</v>
      </c>
      <c r="F217" s="32">
        <f t="shared" si="13"/>
        <v>55</v>
      </c>
      <c r="G217" s="45">
        <f>IFERROR(IF($C$13="No","N/A",IF(Table157[[#This Row],[Period]]=1,$C$6,PMT(InterestRate*AmortizationMultiplier/12,Table157[[#This Row],[Am Thru]],-Table157[[#This Row],[Beginning Balance]]))),0)</f>
        <v>0</v>
      </c>
      <c r="H217" s="32">
        <f>MAX(0,IF(C217=$C$4,D217,ROUND(IF($C$3="Fixed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7" s="32">
        <f>ROUND(Table157[[#This Row],[Defaulted Principal]]*IF($C$9="No",$E$4,VLOOKUP(Table157[[#This Row],[Period]],[1]Forecast!$H$2:$L$1048576,3,FALSE)),2)</f>
        <v>0</v>
      </c>
      <c r="L217" s="4">
        <f>Table157[[#This Row],[Period]]+$E$9</f>
        <v>213</v>
      </c>
      <c r="M217" s="32">
        <f>Table157[[#This Row],[Defaulted Principal]]-Table157[[#This Row],[Estimated Loss]]</f>
        <v>0</v>
      </c>
      <c r="N217" s="32">
        <f>IFERROR(VLOOKUP(Table157[[#This Row],[Period]],$L$16:$M$385,2,FALSE),0)</f>
        <v>0</v>
      </c>
      <c r="O217" s="32">
        <f>Table157[[#This Row],[Beginning Balance]]-Table157[[#This Row],[Principal]]-Table157[[#This Row],[Prepayments]]-Table157[[#This Row],[Defaulted Principal]]</f>
        <v>0</v>
      </c>
      <c r="P217" s="32">
        <f>Table157[[#This Row],[Principal]]+Table157[[#This Row],[Interest]]+Table157[[#This Row],[Prepayments]]+Table157[[#This Row],[RecoveredAmount]]</f>
        <v>0</v>
      </c>
      <c r="Q217" s="32">
        <f ca="1">ROUND(Table157[[#This Row],[Cash Flow]]/((1+ActualRateToUse)^(IF(ISNUMBER(SEARCH("Actual",$C$7)),Table157[[#This Row],[Running Total]]/365,Table157[[#This Row],[Period]]/12))),2)</f>
        <v>0</v>
      </c>
      <c r="R217" s="4">
        <f>IF(MONTH(Table157[[#This Row],[Date]])=2,28,DAY(DATE(YEAR(Table157[[#This Row],[Date]]),MONTH(Table157[[#This Row],[Date]])+1,1)-1))</f>
        <v>31</v>
      </c>
      <c r="S217" s="4">
        <f ca="1">SUM(OFFSET(Table157[[#Headers],[Days in month]],1,0):Table157[[#This Row],[Days in month]])</f>
        <v>6114</v>
      </c>
      <c r="T217" s="30">
        <f>InterestRate*AmortizationMultiplier*IF(ISNUMBER(SEARCH("Actual",$C$7)),Table157[[#This Row],[Days in month]]/365,1/12)</f>
        <v>2.9708333333333331E-3</v>
      </c>
    </row>
    <row r="218" spans="2:20" x14ac:dyDescent="0.2">
      <c r="B218" s="41">
        <f t="shared" si="10"/>
        <v>51986</v>
      </c>
      <c r="C218" s="4">
        <f t="shared" si="12"/>
        <v>202</v>
      </c>
      <c r="D218" s="32">
        <f t="shared" si="11"/>
        <v>0</v>
      </c>
      <c r="E218" s="32">
        <f>ROUND(Table157[[#This Row],[Beginning Balance]]*Table157[[#This Row],[Monthly Interest Rate]],2)</f>
        <v>0</v>
      </c>
      <c r="F218" s="32">
        <f t="shared" si="13"/>
        <v>54</v>
      </c>
      <c r="G218" s="45">
        <f>IFERROR(IF($C$13="No","N/A",IF(Table157[[#This Row],[Period]]=1,$C$6,PMT(InterestRate*AmortizationMultiplier/12,Table157[[#This Row],[Am Thru]],-Table157[[#This Row],[Beginning Balance]]))),0)</f>
        <v>0</v>
      </c>
      <c r="H218" s="32">
        <f>MAX(0,IF(C218=$C$4,D218,ROUND(IF($C$3="Fixed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8" s="32">
        <f>ROUND(Table157[[#This Row],[Defaulted Principal]]*IF($C$9="No",$E$4,VLOOKUP(Table157[[#This Row],[Period]],[1]Forecast!$H$2:$L$1048576,3,FALSE)),2)</f>
        <v>0</v>
      </c>
      <c r="L218" s="4">
        <f>Table157[[#This Row],[Period]]+$E$9</f>
        <v>214</v>
      </c>
      <c r="M218" s="32">
        <f>Table157[[#This Row],[Defaulted Principal]]-Table157[[#This Row],[Estimated Loss]]</f>
        <v>0</v>
      </c>
      <c r="N218" s="32">
        <f>IFERROR(VLOOKUP(Table157[[#This Row],[Period]],$L$16:$M$385,2,FALSE),0)</f>
        <v>0</v>
      </c>
      <c r="O218" s="32">
        <f>Table157[[#This Row],[Beginning Balance]]-Table157[[#This Row],[Principal]]-Table157[[#This Row],[Prepayments]]-Table157[[#This Row],[Defaulted Principal]]</f>
        <v>0</v>
      </c>
      <c r="P218" s="32">
        <f>Table157[[#This Row],[Principal]]+Table157[[#This Row],[Interest]]+Table157[[#This Row],[Prepayments]]+Table157[[#This Row],[RecoveredAmount]]</f>
        <v>0</v>
      </c>
      <c r="Q218" s="32">
        <f ca="1">ROUND(Table157[[#This Row],[Cash Flow]]/((1+ActualRateToUse)^(IF(ISNUMBER(SEARCH("Actual",$C$7)),Table157[[#This Row],[Running Total]]/365,Table157[[#This Row],[Period]]/12))),2)</f>
        <v>0</v>
      </c>
      <c r="R218" s="4">
        <f>IF(MONTH(Table157[[#This Row],[Date]])=2,28,DAY(DATE(YEAR(Table157[[#This Row],[Date]]),MONTH(Table157[[#This Row],[Date]])+1,1)-1))</f>
        <v>30</v>
      </c>
      <c r="S218" s="4">
        <f ca="1">SUM(OFFSET(Table157[[#Headers],[Days in month]],1,0):Table157[[#This Row],[Days in month]])</f>
        <v>6144</v>
      </c>
      <c r="T218" s="30">
        <f>InterestRate*AmortizationMultiplier*IF(ISNUMBER(SEARCH("Actual",$C$7)),Table157[[#This Row],[Days in month]]/365,1/12)</f>
        <v>2.8749999999999995E-3</v>
      </c>
    </row>
    <row r="219" spans="2:20" x14ac:dyDescent="0.2">
      <c r="B219" s="41">
        <f t="shared" si="10"/>
        <v>52017</v>
      </c>
      <c r="C219" s="4">
        <f t="shared" si="12"/>
        <v>203</v>
      </c>
      <c r="D219" s="32">
        <f t="shared" si="11"/>
        <v>0</v>
      </c>
      <c r="E219" s="32">
        <f>ROUND(Table157[[#This Row],[Beginning Balance]]*Table157[[#This Row],[Monthly Interest Rate]],2)</f>
        <v>0</v>
      </c>
      <c r="F219" s="32">
        <f t="shared" si="13"/>
        <v>53</v>
      </c>
      <c r="G219" s="45">
        <f>IFERROR(IF($C$13="No","N/A",IF(Table157[[#This Row],[Period]]=1,$C$6,PMT(InterestRate*AmortizationMultiplier/12,Table157[[#This Row],[Am Thru]],-Table157[[#This Row],[Beginning Balance]]))),0)</f>
        <v>0</v>
      </c>
      <c r="H219" s="32">
        <f>MAX(0,IF(C219=$C$4,D219,ROUND(IF($C$3="Fixed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1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1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19" s="32">
        <f>ROUND(Table157[[#This Row],[Defaulted Principal]]*IF($C$9="No",$E$4,VLOOKUP(Table157[[#This Row],[Period]],[1]Forecast!$H$2:$L$1048576,3,FALSE)),2)</f>
        <v>0</v>
      </c>
      <c r="L219" s="4">
        <f>Table157[[#This Row],[Period]]+$E$9</f>
        <v>215</v>
      </c>
      <c r="M219" s="32">
        <f>Table157[[#This Row],[Defaulted Principal]]-Table157[[#This Row],[Estimated Loss]]</f>
        <v>0</v>
      </c>
      <c r="N219" s="32">
        <f>IFERROR(VLOOKUP(Table157[[#This Row],[Period]],$L$16:$M$385,2,FALSE),0)</f>
        <v>0</v>
      </c>
      <c r="O219" s="32">
        <f>Table157[[#This Row],[Beginning Balance]]-Table157[[#This Row],[Principal]]-Table157[[#This Row],[Prepayments]]-Table157[[#This Row],[Defaulted Principal]]</f>
        <v>0</v>
      </c>
      <c r="P219" s="32">
        <f>Table157[[#This Row],[Principal]]+Table157[[#This Row],[Interest]]+Table157[[#This Row],[Prepayments]]+Table157[[#This Row],[RecoveredAmount]]</f>
        <v>0</v>
      </c>
      <c r="Q219" s="32">
        <f ca="1">ROUND(Table157[[#This Row],[Cash Flow]]/((1+ActualRateToUse)^(IF(ISNUMBER(SEARCH("Actual",$C$7)),Table157[[#This Row],[Running Total]]/365,Table157[[#This Row],[Period]]/12))),2)</f>
        <v>0</v>
      </c>
      <c r="R219" s="4">
        <f>IF(MONTH(Table157[[#This Row],[Date]])=2,28,DAY(DATE(YEAR(Table157[[#This Row],[Date]]),MONTH(Table157[[#This Row],[Date]])+1,1)-1))</f>
        <v>31</v>
      </c>
      <c r="S219" s="4">
        <f ca="1">SUM(OFFSET(Table157[[#Headers],[Days in month]],1,0):Table157[[#This Row],[Days in month]])</f>
        <v>6175</v>
      </c>
      <c r="T219" s="30">
        <f>InterestRate*AmortizationMultiplier*IF(ISNUMBER(SEARCH("Actual",$C$7)),Table157[[#This Row],[Days in month]]/365,1/12)</f>
        <v>2.9708333333333331E-3</v>
      </c>
    </row>
    <row r="220" spans="2:20" x14ac:dyDescent="0.2">
      <c r="B220" s="41">
        <f t="shared" si="10"/>
        <v>52047</v>
      </c>
      <c r="C220" s="4">
        <f t="shared" si="12"/>
        <v>204</v>
      </c>
      <c r="D220" s="32">
        <f t="shared" si="11"/>
        <v>0</v>
      </c>
      <c r="E220" s="32">
        <f>ROUND(Table157[[#This Row],[Beginning Balance]]*Table157[[#This Row],[Monthly Interest Rate]],2)</f>
        <v>0</v>
      </c>
      <c r="F220" s="32">
        <f t="shared" si="13"/>
        <v>52</v>
      </c>
      <c r="G220" s="45">
        <f>IFERROR(IF($C$13="No","N/A",IF(Table157[[#This Row],[Period]]=1,$C$6,PMT(InterestRate*AmortizationMultiplier/12,Table157[[#This Row],[Am Thru]],-Table157[[#This Row],[Beginning Balance]]))),0)</f>
        <v>0</v>
      </c>
      <c r="H220" s="32">
        <f>MAX(0,IF(C220=$C$4,D220,ROUND(IF($C$3="Fixed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0" s="32">
        <f>ROUND(Table157[[#This Row],[Defaulted Principal]]*IF($C$9="No",$E$4,VLOOKUP(Table157[[#This Row],[Period]],[1]Forecast!$H$2:$L$1048576,3,FALSE)),2)</f>
        <v>0</v>
      </c>
      <c r="L220" s="4">
        <f>Table157[[#This Row],[Period]]+$E$9</f>
        <v>216</v>
      </c>
      <c r="M220" s="32">
        <f>Table157[[#This Row],[Defaulted Principal]]-Table157[[#This Row],[Estimated Loss]]</f>
        <v>0</v>
      </c>
      <c r="N220" s="32">
        <f>IFERROR(VLOOKUP(Table157[[#This Row],[Period]],$L$16:$M$385,2,FALSE),0)</f>
        <v>0</v>
      </c>
      <c r="O220" s="32">
        <f>Table157[[#This Row],[Beginning Balance]]-Table157[[#This Row],[Principal]]-Table157[[#This Row],[Prepayments]]-Table157[[#This Row],[Defaulted Principal]]</f>
        <v>0</v>
      </c>
      <c r="P220" s="32">
        <f>Table157[[#This Row],[Principal]]+Table157[[#This Row],[Interest]]+Table157[[#This Row],[Prepayments]]+Table157[[#This Row],[RecoveredAmount]]</f>
        <v>0</v>
      </c>
      <c r="Q220" s="32">
        <f ca="1">ROUND(Table157[[#This Row],[Cash Flow]]/((1+ActualRateToUse)^(IF(ISNUMBER(SEARCH("Actual",$C$7)),Table157[[#This Row],[Running Total]]/365,Table157[[#This Row],[Period]]/12))),2)</f>
        <v>0</v>
      </c>
      <c r="R220" s="4">
        <f>IF(MONTH(Table157[[#This Row],[Date]])=2,28,DAY(DATE(YEAR(Table157[[#This Row],[Date]]),MONTH(Table157[[#This Row],[Date]])+1,1)-1))</f>
        <v>30</v>
      </c>
      <c r="S220" s="4">
        <f ca="1">SUM(OFFSET(Table157[[#Headers],[Days in month]],1,0):Table157[[#This Row],[Days in month]])</f>
        <v>6205</v>
      </c>
      <c r="T220" s="30">
        <f>InterestRate*AmortizationMultiplier*IF(ISNUMBER(SEARCH("Actual",$C$7)),Table157[[#This Row],[Days in month]]/365,1/12)</f>
        <v>2.8749999999999995E-3</v>
      </c>
    </row>
    <row r="221" spans="2:20" x14ac:dyDescent="0.2">
      <c r="B221" s="41">
        <f t="shared" si="10"/>
        <v>52078</v>
      </c>
      <c r="C221" s="4">
        <f t="shared" si="12"/>
        <v>205</v>
      </c>
      <c r="D221" s="32">
        <f t="shared" si="11"/>
        <v>0</v>
      </c>
      <c r="E221" s="32">
        <f>ROUND(Table157[[#This Row],[Beginning Balance]]*Table157[[#This Row],[Monthly Interest Rate]],2)</f>
        <v>0</v>
      </c>
      <c r="F221" s="32">
        <f t="shared" si="13"/>
        <v>51</v>
      </c>
      <c r="G221" s="45">
        <f>IFERROR(IF($C$13="No","N/A",IF(Table157[[#This Row],[Period]]=1,$C$6,PMT(InterestRate*AmortizationMultiplier/12,Table157[[#This Row],[Am Thru]],-Table157[[#This Row],[Beginning Balance]]))),0)</f>
        <v>0</v>
      </c>
      <c r="H221" s="32">
        <f>MAX(0,IF(C221=$C$4,D221,ROUND(IF($C$3="Fixed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1" s="32">
        <f>ROUND(Table157[[#This Row],[Defaulted Principal]]*IF($C$9="No",$E$4,VLOOKUP(Table157[[#This Row],[Period]],[1]Forecast!$H$2:$L$1048576,3,FALSE)),2)</f>
        <v>0</v>
      </c>
      <c r="L221" s="4">
        <f>Table157[[#This Row],[Period]]+$E$9</f>
        <v>217</v>
      </c>
      <c r="M221" s="32">
        <f>Table157[[#This Row],[Defaulted Principal]]-Table157[[#This Row],[Estimated Loss]]</f>
        <v>0</v>
      </c>
      <c r="N221" s="32">
        <f>IFERROR(VLOOKUP(Table157[[#This Row],[Period]],$L$16:$M$385,2,FALSE),0)</f>
        <v>0</v>
      </c>
      <c r="O221" s="32">
        <f>Table157[[#This Row],[Beginning Balance]]-Table157[[#This Row],[Principal]]-Table157[[#This Row],[Prepayments]]-Table157[[#This Row],[Defaulted Principal]]</f>
        <v>0</v>
      </c>
      <c r="P221" s="32">
        <f>Table157[[#This Row],[Principal]]+Table157[[#This Row],[Interest]]+Table157[[#This Row],[Prepayments]]+Table157[[#This Row],[RecoveredAmount]]</f>
        <v>0</v>
      </c>
      <c r="Q221" s="32">
        <f ca="1">ROUND(Table157[[#This Row],[Cash Flow]]/((1+ActualRateToUse)^(IF(ISNUMBER(SEARCH("Actual",$C$7)),Table157[[#This Row],[Running Total]]/365,Table157[[#This Row],[Period]]/12))),2)</f>
        <v>0</v>
      </c>
      <c r="R221" s="4">
        <f>IF(MONTH(Table157[[#This Row],[Date]])=2,28,DAY(DATE(YEAR(Table157[[#This Row],[Date]]),MONTH(Table157[[#This Row],[Date]])+1,1)-1))</f>
        <v>31</v>
      </c>
      <c r="S221" s="4">
        <f ca="1">SUM(OFFSET(Table157[[#Headers],[Days in month]],1,0):Table157[[#This Row],[Days in month]])</f>
        <v>6236</v>
      </c>
      <c r="T221" s="30">
        <f>InterestRate*AmortizationMultiplier*IF(ISNUMBER(SEARCH("Actual",$C$7)),Table157[[#This Row],[Days in month]]/365,1/12)</f>
        <v>2.9708333333333331E-3</v>
      </c>
    </row>
    <row r="222" spans="2:20" x14ac:dyDescent="0.2">
      <c r="B222" s="41">
        <f t="shared" si="10"/>
        <v>52109</v>
      </c>
      <c r="C222" s="4">
        <f t="shared" si="12"/>
        <v>206</v>
      </c>
      <c r="D222" s="32">
        <f t="shared" si="11"/>
        <v>0</v>
      </c>
      <c r="E222" s="32">
        <f>ROUND(Table157[[#This Row],[Beginning Balance]]*Table157[[#This Row],[Monthly Interest Rate]],2)</f>
        <v>0</v>
      </c>
      <c r="F222" s="32">
        <f t="shared" si="13"/>
        <v>50</v>
      </c>
      <c r="G222" s="45">
        <f>IFERROR(IF($C$13="No","N/A",IF(Table157[[#This Row],[Period]]=1,$C$6,PMT(InterestRate*AmortizationMultiplier/12,Table157[[#This Row],[Am Thru]],-Table157[[#This Row],[Beginning Balance]]))),0)</f>
        <v>0</v>
      </c>
      <c r="H222" s="32">
        <f>MAX(0,IF(C222=$C$4,D222,ROUND(IF($C$3="Fixed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2" s="32">
        <f>ROUND(Table157[[#This Row],[Defaulted Principal]]*IF($C$9="No",$E$4,VLOOKUP(Table157[[#This Row],[Period]],[1]Forecast!$H$2:$L$1048576,3,FALSE)),2)</f>
        <v>0</v>
      </c>
      <c r="L222" s="4">
        <f>Table157[[#This Row],[Period]]+$E$9</f>
        <v>218</v>
      </c>
      <c r="M222" s="32">
        <f>Table157[[#This Row],[Defaulted Principal]]-Table157[[#This Row],[Estimated Loss]]</f>
        <v>0</v>
      </c>
      <c r="N222" s="32">
        <f>IFERROR(VLOOKUP(Table157[[#This Row],[Period]],$L$16:$M$385,2,FALSE),0)</f>
        <v>0</v>
      </c>
      <c r="O222" s="32">
        <f>Table157[[#This Row],[Beginning Balance]]-Table157[[#This Row],[Principal]]-Table157[[#This Row],[Prepayments]]-Table157[[#This Row],[Defaulted Principal]]</f>
        <v>0</v>
      </c>
      <c r="P222" s="32">
        <f>Table157[[#This Row],[Principal]]+Table157[[#This Row],[Interest]]+Table157[[#This Row],[Prepayments]]+Table157[[#This Row],[RecoveredAmount]]</f>
        <v>0</v>
      </c>
      <c r="Q222" s="32">
        <f ca="1">ROUND(Table157[[#This Row],[Cash Flow]]/((1+ActualRateToUse)^(IF(ISNUMBER(SEARCH("Actual",$C$7)),Table157[[#This Row],[Running Total]]/365,Table157[[#This Row],[Period]]/12))),2)</f>
        <v>0</v>
      </c>
      <c r="R222" s="4">
        <f>IF(MONTH(Table157[[#This Row],[Date]])=2,28,DAY(DATE(YEAR(Table157[[#This Row],[Date]]),MONTH(Table157[[#This Row],[Date]])+1,1)-1))</f>
        <v>31</v>
      </c>
      <c r="S222" s="4">
        <f ca="1">SUM(OFFSET(Table157[[#Headers],[Days in month]],1,0):Table157[[#This Row],[Days in month]])</f>
        <v>6267</v>
      </c>
      <c r="T222" s="30">
        <f>InterestRate*AmortizationMultiplier*IF(ISNUMBER(SEARCH("Actual",$C$7)),Table157[[#This Row],[Days in month]]/365,1/12)</f>
        <v>2.9708333333333331E-3</v>
      </c>
    </row>
    <row r="223" spans="2:20" x14ac:dyDescent="0.2">
      <c r="B223" s="41">
        <f t="shared" si="10"/>
        <v>52139</v>
      </c>
      <c r="C223" s="4">
        <f t="shared" si="12"/>
        <v>207</v>
      </c>
      <c r="D223" s="32">
        <f t="shared" si="11"/>
        <v>0</v>
      </c>
      <c r="E223" s="32">
        <f>ROUND(Table157[[#This Row],[Beginning Balance]]*Table157[[#This Row],[Monthly Interest Rate]],2)</f>
        <v>0</v>
      </c>
      <c r="F223" s="32">
        <f t="shared" si="13"/>
        <v>49</v>
      </c>
      <c r="G223" s="45">
        <f>IFERROR(IF($C$13="No","N/A",IF(Table157[[#This Row],[Period]]=1,$C$6,PMT(InterestRate*AmortizationMultiplier/12,Table157[[#This Row],[Am Thru]],-Table157[[#This Row],[Beginning Balance]]))),0)</f>
        <v>0</v>
      </c>
      <c r="H223" s="32">
        <f>MAX(0,IF(C223=$C$4,D223,ROUND(IF($C$3="Fixed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3" s="32">
        <f>ROUND(Table157[[#This Row],[Defaulted Principal]]*IF($C$9="No",$E$4,VLOOKUP(Table157[[#This Row],[Period]],[1]Forecast!$H$2:$L$1048576,3,FALSE)),2)</f>
        <v>0</v>
      </c>
      <c r="L223" s="4">
        <f>Table157[[#This Row],[Period]]+$E$9</f>
        <v>219</v>
      </c>
      <c r="M223" s="32">
        <f>Table157[[#This Row],[Defaulted Principal]]-Table157[[#This Row],[Estimated Loss]]</f>
        <v>0</v>
      </c>
      <c r="N223" s="32">
        <f>IFERROR(VLOOKUP(Table157[[#This Row],[Period]],$L$16:$M$385,2,FALSE),0)</f>
        <v>0</v>
      </c>
      <c r="O223" s="32">
        <f>Table157[[#This Row],[Beginning Balance]]-Table157[[#This Row],[Principal]]-Table157[[#This Row],[Prepayments]]-Table157[[#This Row],[Defaulted Principal]]</f>
        <v>0</v>
      </c>
      <c r="P223" s="32">
        <f>Table157[[#This Row],[Principal]]+Table157[[#This Row],[Interest]]+Table157[[#This Row],[Prepayments]]+Table157[[#This Row],[RecoveredAmount]]</f>
        <v>0</v>
      </c>
      <c r="Q223" s="32">
        <f ca="1">ROUND(Table157[[#This Row],[Cash Flow]]/((1+ActualRateToUse)^(IF(ISNUMBER(SEARCH("Actual",$C$7)),Table157[[#This Row],[Running Total]]/365,Table157[[#This Row],[Period]]/12))),2)</f>
        <v>0</v>
      </c>
      <c r="R223" s="4">
        <f>IF(MONTH(Table157[[#This Row],[Date]])=2,28,DAY(DATE(YEAR(Table157[[#This Row],[Date]]),MONTH(Table157[[#This Row],[Date]])+1,1)-1))</f>
        <v>30</v>
      </c>
      <c r="S223" s="4">
        <f ca="1">SUM(OFFSET(Table157[[#Headers],[Days in month]],1,0):Table157[[#This Row],[Days in month]])</f>
        <v>6297</v>
      </c>
      <c r="T223" s="30">
        <f>InterestRate*AmortizationMultiplier*IF(ISNUMBER(SEARCH("Actual",$C$7)),Table157[[#This Row],[Days in month]]/365,1/12)</f>
        <v>2.8749999999999995E-3</v>
      </c>
    </row>
    <row r="224" spans="2:20" x14ac:dyDescent="0.2">
      <c r="B224" s="41">
        <f t="shared" si="10"/>
        <v>52170</v>
      </c>
      <c r="C224" s="4">
        <f t="shared" si="12"/>
        <v>208</v>
      </c>
      <c r="D224" s="32">
        <f t="shared" si="11"/>
        <v>0</v>
      </c>
      <c r="E224" s="32">
        <f>ROUND(Table157[[#This Row],[Beginning Balance]]*Table157[[#This Row],[Monthly Interest Rate]],2)</f>
        <v>0</v>
      </c>
      <c r="F224" s="32">
        <f t="shared" si="13"/>
        <v>48</v>
      </c>
      <c r="G224" s="45">
        <f>IFERROR(IF($C$13="No","N/A",IF(Table157[[#This Row],[Period]]=1,$C$6,PMT(InterestRate*AmortizationMultiplier/12,Table157[[#This Row],[Am Thru]],-Table157[[#This Row],[Beginning Balance]]))),0)</f>
        <v>0</v>
      </c>
      <c r="H224" s="32">
        <f>MAX(0,IF(C224=$C$4,D224,ROUND(IF($C$3="Fixed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4" s="32">
        <f>ROUND(Table157[[#This Row],[Defaulted Principal]]*IF($C$9="No",$E$4,VLOOKUP(Table157[[#This Row],[Period]],[1]Forecast!$H$2:$L$1048576,3,FALSE)),2)</f>
        <v>0</v>
      </c>
      <c r="L224" s="4">
        <f>Table157[[#This Row],[Period]]+$E$9</f>
        <v>220</v>
      </c>
      <c r="M224" s="32">
        <f>Table157[[#This Row],[Defaulted Principal]]-Table157[[#This Row],[Estimated Loss]]</f>
        <v>0</v>
      </c>
      <c r="N224" s="32">
        <f>IFERROR(VLOOKUP(Table157[[#This Row],[Period]],$L$16:$M$385,2,FALSE),0)</f>
        <v>0</v>
      </c>
      <c r="O224" s="32">
        <f>Table157[[#This Row],[Beginning Balance]]-Table157[[#This Row],[Principal]]-Table157[[#This Row],[Prepayments]]-Table157[[#This Row],[Defaulted Principal]]</f>
        <v>0</v>
      </c>
      <c r="P224" s="32">
        <f>Table157[[#This Row],[Principal]]+Table157[[#This Row],[Interest]]+Table157[[#This Row],[Prepayments]]+Table157[[#This Row],[RecoveredAmount]]</f>
        <v>0</v>
      </c>
      <c r="Q224" s="32">
        <f ca="1">ROUND(Table157[[#This Row],[Cash Flow]]/((1+ActualRateToUse)^(IF(ISNUMBER(SEARCH("Actual",$C$7)),Table157[[#This Row],[Running Total]]/365,Table157[[#This Row],[Period]]/12))),2)</f>
        <v>0</v>
      </c>
      <c r="R224" s="4">
        <f>IF(MONTH(Table157[[#This Row],[Date]])=2,28,DAY(DATE(YEAR(Table157[[#This Row],[Date]]),MONTH(Table157[[#This Row],[Date]])+1,1)-1))</f>
        <v>31</v>
      </c>
      <c r="S224" s="4">
        <f ca="1">SUM(OFFSET(Table157[[#Headers],[Days in month]],1,0):Table157[[#This Row],[Days in month]])</f>
        <v>6328</v>
      </c>
      <c r="T224" s="30">
        <f>InterestRate*AmortizationMultiplier*IF(ISNUMBER(SEARCH("Actual",$C$7)),Table157[[#This Row],[Days in month]]/365,1/12)</f>
        <v>2.9708333333333331E-3</v>
      </c>
    </row>
    <row r="225" spans="2:20" x14ac:dyDescent="0.2">
      <c r="B225" s="41">
        <f t="shared" si="10"/>
        <v>52200</v>
      </c>
      <c r="C225" s="4">
        <f t="shared" si="12"/>
        <v>209</v>
      </c>
      <c r="D225" s="32">
        <f t="shared" si="11"/>
        <v>0</v>
      </c>
      <c r="E225" s="32">
        <f>ROUND(Table157[[#This Row],[Beginning Balance]]*Table157[[#This Row],[Monthly Interest Rate]],2)</f>
        <v>0</v>
      </c>
      <c r="F225" s="32">
        <f t="shared" si="13"/>
        <v>47</v>
      </c>
      <c r="G225" s="45">
        <f>IFERROR(IF($C$13="No","N/A",IF(Table157[[#This Row],[Period]]=1,$C$6,PMT(InterestRate*AmortizationMultiplier/12,Table157[[#This Row],[Am Thru]],-Table157[[#This Row],[Beginning Balance]]))),0)</f>
        <v>0</v>
      </c>
      <c r="H225" s="32">
        <f>MAX(0,IF(C225=$C$4,D225,ROUND(IF($C$3="Fixed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5" s="32">
        <f>ROUND(Table157[[#This Row],[Defaulted Principal]]*IF($C$9="No",$E$4,VLOOKUP(Table157[[#This Row],[Period]],[1]Forecast!$H$2:$L$1048576,3,FALSE)),2)</f>
        <v>0</v>
      </c>
      <c r="L225" s="4">
        <f>Table157[[#This Row],[Period]]+$E$9</f>
        <v>221</v>
      </c>
      <c r="M225" s="32">
        <f>Table157[[#This Row],[Defaulted Principal]]-Table157[[#This Row],[Estimated Loss]]</f>
        <v>0</v>
      </c>
      <c r="N225" s="32">
        <f>IFERROR(VLOOKUP(Table157[[#This Row],[Period]],$L$16:$M$385,2,FALSE),0)</f>
        <v>0</v>
      </c>
      <c r="O225" s="32">
        <f>Table157[[#This Row],[Beginning Balance]]-Table157[[#This Row],[Principal]]-Table157[[#This Row],[Prepayments]]-Table157[[#This Row],[Defaulted Principal]]</f>
        <v>0</v>
      </c>
      <c r="P225" s="32">
        <f>Table157[[#This Row],[Principal]]+Table157[[#This Row],[Interest]]+Table157[[#This Row],[Prepayments]]+Table157[[#This Row],[RecoveredAmount]]</f>
        <v>0</v>
      </c>
      <c r="Q225" s="32">
        <f ca="1">ROUND(Table157[[#This Row],[Cash Flow]]/((1+ActualRateToUse)^(IF(ISNUMBER(SEARCH("Actual",$C$7)),Table157[[#This Row],[Running Total]]/365,Table157[[#This Row],[Period]]/12))),2)</f>
        <v>0</v>
      </c>
      <c r="R225" s="4">
        <f>IF(MONTH(Table157[[#This Row],[Date]])=2,28,DAY(DATE(YEAR(Table157[[#This Row],[Date]]),MONTH(Table157[[#This Row],[Date]])+1,1)-1))</f>
        <v>30</v>
      </c>
      <c r="S225" s="4">
        <f ca="1">SUM(OFFSET(Table157[[#Headers],[Days in month]],1,0):Table157[[#This Row],[Days in month]])</f>
        <v>6358</v>
      </c>
      <c r="T225" s="30">
        <f>InterestRate*AmortizationMultiplier*IF(ISNUMBER(SEARCH("Actual",$C$7)),Table157[[#This Row],[Days in month]]/365,1/12)</f>
        <v>2.8749999999999995E-3</v>
      </c>
    </row>
    <row r="226" spans="2:20" x14ac:dyDescent="0.2">
      <c r="B226" s="41">
        <f t="shared" si="10"/>
        <v>52231</v>
      </c>
      <c r="C226" s="4">
        <f t="shared" si="12"/>
        <v>210</v>
      </c>
      <c r="D226" s="32">
        <f t="shared" si="11"/>
        <v>0</v>
      </c>
      <c r="E226" s="32">
        <f>ROUND(Table157[[#This Row],[Beginning Balance]]*Table157[[#This Row],[Monthly Interest Rate]],2)</f>
        <v>0</v>
      </c>
      <c r="F226" s="32">
        <f t="shared" si="13"/>
        <v>46</v>
      </c>
      <c r="G226" s="45">
        <f>IFERROR(IF($C$13="No","N/A",IF(Table157[[#This Row],[Period]]=1,$C$6,PMT(InterestRate*AmortizationMultiplier/12,Table157[[#This Row],[Am Thru]],-Table157[[#This Row],[Beginning Balance]]))),0)</f>
        <v>0</v>
      </c>
      <c r="H226" s="32">
        <f>MAX(0,IF(C226=$C$4,D226,ROUND(IF($C$3="Fixed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6" s="32">
        <f>ROUND(Table157[[#This Row],[Defaulted Principal]]*IF($C$9="No",$E$4,VLOOKUP(Table157[[#This Row],[Period]],[1]Forecast!$H$2:$L$1048576,3,FALSE)),2)</f>
        <v>0</v>
      </c>
      <c r="L226" s="4">
        <f>Table157[[#This Row],[Period]]+$E$9</f>
        <v>222</v>
      </c>
      <c r="M226" s="32">
        <f>Table157[[#This Row],[Defaulted Principal]]-Table157[[#This Row],[Estimated Loss]]</f>
        <v>0</v>
      </c>
      <c r="N226" s="32">
        <f>IFERROR(VLOOKUP(Table157[[#This Row],[Period]],$L$16:$M$385,2,FALSE),0)</f>
        <v>0</v>
      </c>
      <c r="O226" s="32">
        <f>Table157[[#This Row],[Beginning Balance]]-Table157[[#This Row],[Principal]]-Table157[[#This Row],[Prepayments]]-Table157[[#This Row],[Defaulted Principal]]</f>
        <v>0</v>
      </c>
      <c r="P226" s="32">
        <f>Table157[[#This Row],[Principal]]+Table157[[#This Row],[Interest]]+Table157[[#This Row],[Prepayments]]+Table157[[#This Row],[RecoveredAmount]]</f>
        <v>0</v>
      </c>
      <c r="Q226" s="32">
        <f ca="1">ROUND(Table157[[#This Row],[Cash Flow]]/((1+ActualRateToUse)^(IF(ISNUMBER(SEARCH("Actual",$C$7)),Table157[[#This Row],[Running Total]]/365,Table157[[#This Row],[Period]]/12))),2)</f>
        <v>0</v>
      </c>
      <c r="R226" s="4">
        <f>IF(MONTH(Table157[[#This Row],[Date]])=2,28,DAY(DATE(YEAR(Table157[[#This Row],[Date]]),MONTH(Table157[[#This Row],[Date]])+1,1)-1))</f>
        <v>31</v>
      </c>
      <c r="S226" s="4">
        <f ca="1">SUM(OFFSET(Table157[[#Headers],[Days in month]],1,0):Table157[[#This Row],[Days in month]])</f>
        <v>6389</v>
      </c>
      <c r="T226" s="30">
        <f>InterestRate*AmortizationMultiplier*IF(ISNUMBER(SEARCH("Actual",$C$7)),Table157[[#This Row],[Days in month]]/365,1/12)</f>
        <v>2.9708333333333331E-3</v>
      </c>
    </row>
    <row r="227" spans="2:20" x14ac:dyDescent="0.2">
      <c r="B227" s="41">
        <f t="shared" si="10"/>
        <v>52262</v>
      </c>
      <c r="C227" s="4">
        <f t="shared" si="12"/>
        <v>211</v>
      </c>
      <c r="D227" s="32">
        <f t="shared" si="11"/>
        <v>0</v>
      </c>
      <c r="E227" s="32">
        <f>ROUND(Table157[[#This Row],[Beginning Balance]]*Table157[[#This Row],[Monthly Interest Rate]],2)</f>
        <v>0</v>
      </c>
      <c r="F227" s="32">
        <f t="shared" si="13"/>
        <v>45</v>
      </c>
      <c r="G227" s="45">
        <f>IFERROR(IF($C$13="No","N/A",IF(Table157[[#This Row],[Period]]=1,$C$6,PMT(InterestRate*AmortizationMultiplier/12,Table157[[#This Row],[Am Thru]],-Table157[[#This Row],[Beginning Balance]]))),0)</f>
        <v>0</v>
      </c>
      <c r="H227" s="32">
        <f>MAX(0,IF(C227=$C$4,D227,ROUND(IF($C$3="Fixed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7" s="32">
        <f>ROUND(Table157[[#This Row],[Defaulted Principal]]*IF($C$9="No",$E$4,VLOOKUP(Table157[[#This Row],[Period]],[1]Forecast!$H$2:$L$1048576,3,FALSE)),2)</f>
        <v>0</v>
      </c>
      <c r="L227" s="4">
        <f>Table157[[#This Row],[Period]]+$E$9</f>
        <v>223</v>
      </c>
      <c r="M227" s="32">
        <f>Table157[[#This Row],[Defaulted Principal]]-Table157[[#This Row],[Estimated Loss]]</f>
        <v>0</v>
      </c>
      <c r="N227" s="32">
        <f>IFERROR(VLOOKUP(Table157[[#This Row],[Period]],$L$16:$M$385,2,FALSE),0)</f>
        <v>0</v>
      </c>
      <c r="O227" s="32">
        <f>Table157[[#This Row],[Beginning Balance]]-Table157[[#This Row],[Principal]]-Table157[[#This Row],[Prepayments]]-Table157[[#This Row],[Defaulted Principal]]</f>
        <v>0</v>
      </c>
      <c r="P227" s="32">
        <f>Table157[[#This Row],[Principal]]+Table157[[#This Row],[Interest]]+Table157[[#This Row],[Prepayments]]+Table157[[#This Row],[RecoveredAmount]]</f>
        <v>0</v>
      </c>
      <c r="Q227" s="32">
        <f ca="1">ROUND(Table157[[#This Row],[Cash Flow]]/((1+ActualRateToUse)^(IF(ISNUMBER(SEARCH("Actual",$C$7)),Table157[[#This Row],[Running Total]]/365,Table157[[#This Row],[Period]]/12))),2)</f>
        <v>0</v>
      </c>
      <c r="R227" s="4">
        <f>IF(MONTH(Table157[[#This Row],[Date]])=2,28,DAY(DATE(YEAR(Table157[[#This Row],[Date]]),MONTH(Table157[[#This Row],[Date]])+1,1)-1))</f>
        <v>31</v>
      </c>
      <c r="S227" s="4">
        <f ca="1">SUM(OFFSET(Table157[[#Headers],[Days in month]],1,0):Table157[[#This Row],[Days in month]])</f>
        <v>6420</v>
      </c>
      <c r="T227" s="30">
        <f>InterestRate*AmortizationMultiplier*IF(ISNUMBER(SEARCH("Actual",$C$7)),Table157[[#This Row],[Days in month]]/365,1/12)</f>
        <v>2.9708333333333331E-3</v>
      </c>
    </row>
    <row r="228" spans="2:20" x14ac:dyDescent="0.2">
      <c r="B228" s="41">
        <f t="shared" si="10"/>
        <v>52290</v>
      </c>
      <c r="C228" s="4">
        <f t="shared" si="12"/>
        <v>212</v>
      </c>
      <c r="D228" s="32">
        <f t="shared" si="11"/>
        <v>0</v>
      </c>
      <c r="E228" s="32">
        <f>ROUND(Table157[[#This Row],[Beginning Balance]]*Table157[[#This Row],[Monthly Interest Rate]],2)</f>
        <v>0</v>
      </c>
      <c r="F228" s="32">
        <f t="shared" si="13"/>
        <v>44</v>
      </c>
      <c r="G228" s="45">
        <f>IFERROR(IF($C$13="No","N/A",IF(Table157[[#This Row],[Period]]=1,$C$6,PMT(InterestRate*AmortizationMultiplier/12,Table157[[#This Row],[Am Thru]],-Table157[[#This Row],[Beginning Balance]]))),0)</f>
        <v>0</v>
      </c>
      <c r="H228" s="32">
        <f>MAX(0,IF(C228=$C$4,D228,ROUND(IF($C$3="Fixed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8" s="32">
        <f>ROUND(Table157[[#This Row],[Defaulted Principal]]*IF($C$9="No",$E$4,VLOOKUP(Table157[[#This Row],[Period]],[1]Forecast!$H$2:$L$1048576,3,FALSE)),2)</f>
        <v>0</v>
      </c>
      <c r="L228" s="4">
        <f>Table157[[#This Row],[Period]]+$E$9</f>
        <v>224</v>
      </c>
      <c r="M228" s="32">
        <f>Table157[[#This Row],[Defaulted Principal]]-Table157[[#This Row],[Estimated Loss]]</f>
        <v>0</v>
      </c>
      <c r="N228" s="32">
        <f>IFERROR(VLOOKUP(Table157[[#This Row],[Period]],$L$16:$M$385,2,FALSE),0)</f>
        <v>0</v>
      </c>
      <c r="O228" s="32">
        <f>Table157[[#This Row],[Beginning Balance]]-Table157[[#This Row],[Principal]]-Table157[[#This Row],[Prepayments]]-Table157[[#This Row],[Defaulted Principal]]</f>
        <v>0</v>
      </c>
      <c r="P228" s="32">
        <f>Table157[[#This Row],[Principal]]+Table157[[#This Row],[Interest]]+Table157[[#This Row],[Prepayments]]+Table157[[#This Row],[RecoveredAmount]]</f>
        <v>0</v>
      </c>
      <c r="Q228" s="32">
        <f ca="1">ROUND(Table157[[#This Row],[Cash Flow]]/((1+ActualRateToUse)^(IF(ISNUMBER(SEARCH("Actual",$C$7)),Table157[[#This Row],[Running Total]]/365,Table157[[#This Row],[Period]]/12))),2)</f>
        <v>0</v>
      </c>
      <c r="R228" s="4">
        <f>IF(MONTH(Table157[[#This Row],[Date]])=2,28,DAY(DATE(YEAR(Table157[[#This Row],[Date]]),MONTH(Table157[[#This Row],[Date]])+1,1)-1))</f>
        <v>28</v>
      </c>
      <c r="S228" s="4">
        <f ca="1">SUM(OFFSET(Table157[[#Headers],[Days in month]],1,0):Table157[[#This Row],[Days in month]])</f>
        <v>6448</v>
      </c>
      <c r="T228" s="30">
        <f>InterestRate*AmortizationMultiplier*IF(ISNUMBER(SEARCH("Actual",$C$7)),Table157[[#This Row],[Days in month]]/365,1/12)</f>
        <v>2.6833333333333336E-3</v>
      </c>
    </row>
    <row r="229" spans="2:20" x14ac:dyDescent="0.2">
      <c r="B229" s="41">
        <f t="shared" si="10"/>
        <v>52321</v>
      </c>
      <c r="C229" s="4">
        <f t="shared" si="12"/>
        <v>213</v>
      </c>
      <c r="D229" s="32">
        <f t="shared" si="11"/>
        <v>0</v>
      </c>
      <c r="E229" s="32">
        <f>ROUND(Table157[[#This Row],[Beginning Balance]]*Table157[[#This Row],[Monthly Interest Rate]],2)</f>
        <v>0</v>
      </c>
      <c r="F229" s="32">
        <f t="shared" si="13"/>
        <v>43</v>
      </c>
      <c r="G229" s="45">
        <f>IFERROR(IF($C$13="No","N/A",IF(Table157[[#This Row],[Period]]=1,$C$6,PMT(InterestRate*AmortizationMultiplier/12,Table157[[#This Row],[Am Thru]],-Table157[[#This Row],[Beginning Balance]]))),0)</f>
        <v>0</v>
      </c>
      <c r="H229" s="32">
        <f>MAX(0,IF(C229=$C$4,D229,ROUND(IF($C$3="Fixed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2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2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29" s="32">
        <f>ROUND(Table157[[#This Row],[Defaulted Principal]]*IF($C$9="No",$E$4,VLOOKUP(Table157[[#This Row],[Period]],[1]Forecast!$H$2:$L$1048576,3,FALSE)),2)</f>
        <v>0</v>
      </c>
      <c r="L229" s="4">
        <f>Table157[[#This Row],[Period]]+$E$9</f>
        <v>225</v>
      </c>
      <c r="M229" s="32">
        <f>Table157[[#This Row],[Defaulted Principal]]-Table157[[#This Row],[Estimated Loss]]</f>
        <v>0</v>
      </c>
      <c r="N229" s="32">
        <f>IFERROR(VLOOKUP(Table157[[#This Row],[Period]],$L$16:$M$385,2,FALSE),0)</f>
        <v>0</v>
      </c>
      <c r="O229" s="32">
        <f>Table157[[#This Row],[Beginning Balance]]-Table157[[#This Row],[Principal]]-Table157[[#This Row],[Prepayments]]-Table157[[#This Row],[Defaulted Principal]]</f>
        <v>0</v>
      </c>
      <c r="P229" s="32">
        <f>Table157[[#This Row],[Principal]]+Table157[[#This Row],[Interest]]+Table157[[#This Row],[Prepayments]]+Table157[[#This Row],[RecoveredAmount]]</f>
        <v>0</v>
      </c>
      <c r="Q229" s="32">
        <f ca="1">ROUND(Table157[[#This Row],[Cash Flow]]/((1+ActualRateToUse)^(IF(ISNUMBER(SEARCH("Actual",$C$7)),Table157[[#This Row],[Running Total]]/365,Table157[[#This Row],[Period]]/12))),2)</f>
        <v>0</v>
      </c>
      <c r="R229" s="4">
        <f>IF(MONTH(Table157[[#This Row],[Date]])=2,28,DAY(DATE(YEAR(Table157[[#This Row],[Date]]),MONTH(Table157[[#This Row],[Date]])+1,1)-1))</f>
        <v>31</v>
      </c>
      <c r="S229" s="4">
        <f ca="1">SUM(OFFSET(Table157[[#Headers],[Days in month]],1,0):Table157[[#This Row],[Days in month]])</f>
        <v>6479</v>
      </c>
      <c r="T229" s="30">
        <f>InterestRate*AmortizationMultiplier*IF(ISNUMBER(SEARCH("Actual",$C$7)),Table157[[#This Row],[Days in month]]/365,1/12)</f>
        <v>2.9708333333333331E-3</v>
      </c>
    </row>
    <row r="230" spans="2:20" x14ac:dyDescent="0.2">
      <c r="B230" s="41">
        <f t="shared" si="10"/>
        <v>52351</v>
      </c>
      <c r="C230" s="4">
        <f t="shared" si="12"/>
        <v>214</v>
      </c>
      <c r="D230" s="32">
        <f t="shared" si="11"/>
        <v>0</v>
      </c>
      <c r="E230" s="32">
        <f>ROUND(Table157[[#This Row],[Beginning Balance]]*Table157[[#This Row],[Monthly Interest Rate]],2)</f>
        <v>0</v>
      </c>
      <c r="F230" s="32">
        <f t="shared" si="13"/>
        <v>42</v>
      </c>
      <c r="G230" s="45">
        <f>IFERROR(IF($C$13="No","N/A",IF(Table157[[#This Row],[Period]]=1,$C$6,PMT(InterestRate*AmortizationMultiplier/12,Table157[[#This Row],[Am Thru]],-Table157[[#This Row],[Beginning Balance]]))),0)</f>
        <v>0</v>
      </c>
      <c r="H230" s="32">
        <f>MAX(0,IF(C230=$C$4,D230,ROUND(IF($C$3="Fixed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0" s="32">
        <f>ROUND(Table157[[#This Row],[Defaulted Principal]]*IF($C$9="No",$E$4,VLOOKUP(Table157[[#This Row],[Period]],[1]Forecast!$H$2:$L$1048576,3,FALSE)),2)</f>
        <v>0</v>
      </c>
      <c r="L230" s="4">
        <f>Table157[[#This Row],[Period]]+$E$9</f>
        <v>226</v>
      </c>
      <c r="M230" s="32">
        <f>Table157[[#This Row],[Defaulted Principal]]-Table157[[#This Row],[Estimated Loss]]</f>
        <v>0</v>
      </c>
      <c r="N230" s="32">
        <f>IFERROR(VLOOKUP(Table157[[#This Row],[Period]],$L$16:$M$385,2,FALSE),0)</f>
        <v>0</v>
      </c>
      <c r="O230" s="32">
        <f>Table157[[#This Row],[Beginning Balance]]-Table157[[#This Row],[Principal]]-Table157[[#This Row],[Prepayments]]-Table157[[#This Row],[Defaulted Principal]]</f>
        <v>0</v>
      </c>
      <c r="P230" s="32">
        <f>Table157[[#This Row],[Principal]]+Table157[[#This Row],[Interest]]+Table157[[#This Row],[Prepayments]]+Table157[[#This Row],[RecoveredAmount]]</f>
        <v>0</v>
      </c>
      <c r="Q230" s="32">
        <f ca="1">ROUND(Table157[[#This Row],[Cash Flow]]/((1+ActualRateToUse)^(IF(ISNUMBER(SEARCH("Actual",$C$7)),Table157[[#This Row],[Running Total]]/365,Table157[[#This Row],[Period]]/12))),2)</f>
        <v>0</v>
      </c>
      <c r="R230" s="4">
        <f>IF(MONTH(Table157[[#This Row],[Date]])=2,28,DAY(DATE(YEAR(Table157[[#This Row],[Date]]),MONTH(Table157[[#This Row],[Date]])+1,1)-1))</f>
        <v>30</v>
      </c>
      <c r="S230" s="4">
        <f ca="1">SUM(OFFSET(Table157[[#Headers],[Days in month]],1,0):Table157[[#This Row],[Days in month]])</f>
        <v>6509</v>
      </c>
      <c r="T230" s="30">
        <f>InterestRate*AmortizationMultiplier*IF(ISNUMBER(SEARCH("Actual",$C$7)),Table157[[#This Row],[Days in month]]/365,1/12)</f>
        <v>2.8749999999999995E-3</v>
      </c>
    </row>
    <row r="231" spans="2:20" x14ac:dyDescent="0.2">
      <c r="B231" s="41">
        <f t="shared" si="10"/>
        <v>52382</v>
      </c>
      <c r="C231" s="4">
        <f t="shared" si="12"/>
        <v>215</v>
      </c>
      <c r="D231" s="32">
        <f t="shared" si="11"/>
        <v>0</v>
      </c>
      <c r="E231" s="32">
        <f>ROUND(Table157[[#This Row],[Beginning Balance]]*Table157[[#This Row],[Monthly Interest Rate]],2)</f>
        <v>0</v>
      </c>
      <c r="F231" s="32">
        <f t="shared" si="13"/>
        <v>41</v>
      </c>
      <c r="G231" s="45">
        <f>IFERROR(IF($C$13="No","N/A",IF(Table157[[#This Row],[Period]]=1,$C$6,PMT(InterestRate*AmortizationMultiplier/12,Table157[[#This Row],[Am Thru]],-Table157[[#This Row],[Beginning Balance]]))),0)</f>
        <v>0</v>
      </c>
      <c r="H231" s="32">
        <f>MAX(0,IF(C231=$C$4,D231,ROUND(IF($C$3="Fixed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1" s="32">
        <f>ROUND(Table157[[#This Row],[Defaulted Principal]]*IF($C$9="No",$E$4,VLOOKUP(Table157[[#This Row],[Period]],[1]Forecast!$H$2:$L$1048576,3,FALSE)),2)</f>
        <v>0</v>
      </c>
      <c r="L231" s="4">
        <f>Table157[[#This Row],[Period]]+$E$9</f>
        <v>227</v>
      </c>
      <c r="M231" s="32">
        <f>Table157[[#This Row],[Defaulted Principal]]-Table157[[#This Row],[Estimated Loss]]</f>
        <v>0</v>
      </c>
      <c r="N231" s="32">
        <f>IFERROR(VLOOKUP(Table157[[#This Row],[Period]],$L$16:$M$385,2,FALSE),0)</f>
        <v>0</v>
      </c>
      <c r="O231" s="32">
        <f>Table157[[#This Row],[Beginning Balance]]-Table157[[#This Row],[Principal]]-Table157[[#This Row],[Prepayments]]-Table157[[#This Row],[Defaulted Principal]]</f>
        <v>0</v>
      </c>
      <c r="P231" s="32">
        <f>Table157[[#This Row],[Principal]]+Table157[[#This Row],[Interest]]+Table157[[#This Row],[Prepayments]]+Table157[[#This Row],[RecoveredAmount]]</f>
        <v>0</v>
      </c>
      <c r="Q231" s="32">
        <f ca="1">ROUND(Table157[[#This Row],[Cash Flow]]/((1+ActualRateToUse)^(IF(ISNUMBER(SEARCH("Actual",$C$7)),Table157[[#This Row],[Running Total]]/365,Table157[[#This Row],[Period]]/12))),2)</f>
        <v>0</v>
      </c>
      <c r="R231" s="4">
        <f>IF(MONTH(Table157[[#This Row],[Date]])=2,28,DAY(DATE(YEAR(Table157[[#This Row],[Date]]),MONTH(Table157[[#This Row],[Date]])+1,1)-1))</f>
        <v>31</v>
      </c>
      <c r="S231" s="4">
        <f ca="1">SUM(OFFSET(Table157[[#Headers],[Days in month]],1,0):Table157[[#This Row],[Days in month]])</f>
        <v>6540</v>
      </c>
      <c r="T231" s="30">
        <f>InterestRate*AmortizationMultiplier*IF(ISNUMBER(SEARCH("Actual",$C$7)),Table157[[#This Row],[Days in month]]/365,1/12)</f>
        <v>2.9708333333333331E-3</v>
      </c>
    </row>
    <row r="232" spans="2:20" x14ac:dyDescent="0.2">
      <c r="B232" s="41">
        <f t="shared" si="10"/>
        <v>52412</v>
      </c>
      <c r="C232" s="4">
        <f t="shared" si="12"/>
        <v>216</v>
      </c>
      <c r="D232" s="32">
        <f t="shared" si="11"/>
        <v>0</v>
      </c>
      <c r="E232" s="32">
        <f>ROUND(Table157[[#This Row],[Beginning Balance]]*Table157[[#This Row],[Monthly Interest Rate]],2)</f>
        <v>0</v>
      </c>
      <c r="F232" s="32">
        <f t="shared" si="13"/>
        <v>40</v>
      </c>
      <c r="G232" s="45">
        <f>IFERROR(IF($C$13="No","N/A",IF(Table157[[#This Row],[Period]]=1,$C$6,PMT(InterestRate*AmortizationMultiplier/12,Table157[[#This Row],[Am Thru]],-Table157[[#This Row],[Beginning Balance]]))),0)</f>
        <v>0</v>
      </c>
      <c r="H232" s="32">
        <f>MAX(0,IF(C232=$C$4,D232,ROUND(IF($C$3="Fixed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2" s="32">
        <f>ROUND(Table157[[#This Row],[Defaulted Principal]]*IF($C$9="No",$E$4,VLOOKUP(Table157[[#This Row],[Period]],[1]Forecast!$H$2:$L$1048576,3,FALSE)),2)</f>
        <v>0</v>
      </c>
      <c r="L232" s="4">
        <f>Table157[[#This Row],[Period]]+$E$9</f>
        <v>228</v>
      </c>
      <c r="M232" s="32">
        <f>Table157[[#This Row],[Defaulted Principal]]-Table157[[#This Row],[Estimated Loss]]</f>
        <v>0</v>
      </c>
      <c r="N232" s="32">
        <f>IFERROR(VLOOKUP(Table157[[#This Row],[Period]],$L$16:$M$385,2,FALSE),0)</f>
        <v>0</v>
      </c>
      <c r="O232" s="32">
        <f>Table157[[#This Row],[Beginning Balance]]-Table157[[#This Row],[Principal]]-Table157[[#This Row],[Prepayments]]-Table157[[#This Row],[Defaulted Principal]]</f>
        <v>0</v>
      </c>
      <c r="P232" s="32">
        <f>Table157[[#This Row],[Principal]]+Table157[[#This Row],[Interest]]+Table157[[#This Row],[Prepayments]]+Table157[[#This Row],[RecoveredAmount]]</f>
        <v>0</v>
      </c>
      <c r="Q232" s="32">
        <f ca="1">ROUND(Table157[[#This Row],[Cash Flow]]/((1+ActualRateToUse)^(IF(ISNUMBER(SEARCH("Actual",$C$7)),Table157[[#This Row],[Running Total]]/365,Table157[[#This Row],[Period]]/12))),2)</f>
        <v>0</v>
      </c>
      <c r="R232" s="4">
        <f>IF(MONTH(Table157[[#This Row],[Date]])=2,28,DAY(DATE(YEAR(Table157[[#This Row],[Date]]),MONTH(Table157[[#This Row],[Date]])+1,1)-1))</f>
        <v>30</v>
      </c>
      <c r="S232" s="4">
        <f ca="1">SUM(OFFSET(Table157[[#Headers],[Days in month]],1,0):Table157[[#This Row],[Days in month]])</f>
        <v>6570</v>
      </c>
      <c r="T232" s="30">
        <f>InterestRate*AmortizationMultiplier*IF(ISNUMBER(SEARCH("Actual",$C$7)),Table157[[#This Row],[Days in month]]/365,1/12)</f>
        <v>2.8749999999999995E-3</v>
      </c>
    </row>
    <row r="233" spans="2:20" x14ac:dyDescent="0.2">
      <c r="B233" s="41">
        <f t="shared" si="10"/>
        <v>52443</v>
      </c>
      <c r="C233" s="4">
        <f t="shared" si="12"/>
        <v>217</v>
      </c>
      <c r="D233" s="32">
        <f t="shared" si="11"/>
        <v>0</v>
      </c>
      <c r="E233" s="32">
        <f>ROUND(Table157[[#This Row],[Beginning Balance]]*Table157[[#This Row],[Monthly Interest Rate]],2)</f>
        <v>0</v>
      </c>
      <c r="F233" s="32">
        <f t="shared" si="13"/>
        <v>39</v>
      </c>
      <c r="G233" s="45">
        <f>IFERROR(IF($C$13="No","N/A",IF(Table157[[#This Row],[Period]]=1,$C$6,PMT(InterestRate*AmortizationMultiplier/12,Table157[[#This Row],[Am Thru]],-Table157[[#This Row],[Beginning Balance]]))),0)</f>
        <v>0</v>
      </c>
      <c r="H233" s="32">
        <f>MAX(0,IF(C233=$C$4,D233,ROUND(IF($C$3="Fixed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3" s="32">
        <f>ROUND(Table157[[#This Row],[Defaulted Principal]]*IF($C$9="No",$E$4,VLOOKUP(Table157[[#This Row],[Period]],[1]Forecast!$H$2:$L$1048576,3,FALSE)),2)</f>
        <v>0</v>
      </c>
      <c r="L233" s="4">
        <f>Table157[[#This Row],[Period]]+$E$9</f>
        <v>229</v>
      </c>
      <c r="M233" s="32">
        <f>Table157[[#This Row],[Defaulted Principal]]-Table157[[#This Row],[Estimated Loss]]</f>
        <v>0</v>
      </c>
      <c r="N233" s="32">
        <f>IFERROR(VLOOKUP(Table157[[#This Row],[Period]],$L$16:$M$385,2,FALSE),0)</f>
        <v>0</v>
      </c>
      <c r="O233" s="32">
        <f>Table157[[#This Row],[Beginning Balance]]-Table157[[#This Row],[Principal]]-Table157[[#This Row],[Prepayments]]-Table157[[#This Row],[Defaulted Principal]]</f>
        <v>0</v>
      </c>
      <c r="P233" s="32">
        <f>Table157[[#This Row],[Principal]]+Table157[[#This Row],[Interest]]+Table157[[#This Row],[Prepayments]]+Table157[[#This Row],[RecoveredAmount]]</f>
        <v>0</v>
      </c>
      <c r="Q233" s="32">
        <f ca="1">ROUND(Table157[[#This Row],[Cash Flow]]/((1+ActualRateToUse)^(IF(ISNUMBER(SEARCH("Actual",$C$7)),Table157[[#This Row],[Running Total]]/365,Table157[[#This Row],[Period]]/12))),2)</f>
        <v>0</v>
      </c>
      <c r="R233" s="4">
        <f>IF(MONTH(Table157[[#This Row],[Date]])=2,28,DAY(DATE(YEAR(Table157[[#This Row],[Date]]),MONTH(Table157[[#This Row],[Date]])+1,1)-1))</f>
        <v>31</v>
      </c>
      <c r="S233" s="4">
        <f ca="1">SUM(OFFSET(Table157[[#Headers],[Days in month]],1,0):Table157[[#This Row],[Days in month]])</f>
        <v>6601</v>
      </c>
      <c r="T233" s="30">
        <f>InterestRate*AmortizationMultiplier*IF(ISNUMBER(SEARCH("Actual",$C$7)),Table157[[#This Row],[Days in month]]/365,1/12)</f>
        <v>2.9708333333333331E-3</v>
      </c>
    </row>
    <row r="234" spans="2:20" x14ac:dyDescent="0.2">
      <c r="B234" s="41">
        <f t="shared" si="10"/>
        <v>52474</v>
      </c>
      <c r="C234" s="4">
        <f t="shared" si="12"/>
        <v>218</v>
      </c>
      <c r="D234" s="32">
        <f t="shared" si="11"/>
        <v>0</v>
      </c>
      <c r="E234" s="32">
        <f>ROUND(Table157[[#This Row],[Beginning Balance]]*Table157[[#This Row],[Monthly Interest Rate]],2)</f>
        <v>0</v>
      </c>
      <c r="F234" s="32">
        <f t="shared" si="13"/>
        <v>38</v>
      </c>
      <c r="G234" s="45">
        <f>IFERROR(IF($C$13="No","N/A",IF(Table157[[#This Row],[Period]]=1,$C$6,PMT(InterestRate*AmortizationMultiplier/12,Table157[[#This Row],[Am Thru]],-Table157[[#This Row],[Beginning Balance]]))),0)</f>
        <v>0</v>
      </c>
      <c r="H234" s="32">
        <f>MAX(0,IF(C234=$C$4,D234,ROUND(IF($C$3="Fixed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4" s="32">
        <f>ROUND(Table157[[#This Row],[Defaulted Principal]]*IF($C$9="No",$E$4,VLOOKUP(Table157[[#This Row],[Period]],[1]Forecast!$H$2:$L$1048576,3,FALSE)),2)</f>
        <v>0</v>
      </c>
      <c r="L234" s="4">
        <f>Table157[[#This Row],[Period]]+$E$9</f>
        <v>230</v>
      </c>
      <c r="M234" s="32">
        <f>Table157[[#This Row],[Defaulted Principal]]-Table157[[#This Row],[Estimated Loss]]</f>
        <v>0</v>
      </c>
      <c r="N234" s="32">
        <f>IFERROR(VLOOKUP(Table157[[#This Row],[Period]],$L$16:$M$385,2,FALSE),0)</f>
        <v>0</v>
      </c>
      <c r="O234" s="32">
        <f>Table157[[#This Row],[Beginning Balance]]-Table157[[#This Row],[Principal]]-Table157[[#This Row],[Prepayments]]-Table157[[#This Row],[Defaulted Principal]]</f>
        <v>0</v>
      </c>
      <c r="P234" s="32">
        <f>Table157[[#This Row],[Principal]]+Table157[[#This Row],[Interest]]+Table157[[#This Row],[Prepayments]]+Table157[[#This Row],[RecoveredAmount]]</f>
        <v>0</v>
      </c>
      <c r="Q234" s="32">
        <f ca="1">ROUND(Table157[[#This Row],[Cash Flow]]/((1+ActualRateToUse)^(IF(ISNUMBER(SEARCH("Actual",$C$7)),Table157[[#This Row],[Running Total]]/365,Table157[[#This Row],[Period]]/12))),2)</f>
        <v>0</v>
      </c>
      <c r="R234" s="4">
        <f>IF(MONTH(Table157[[#This Row],[Date]])=2,28,DAY(DATE(YEAR(Table157[[#This Row],[Date]]),MONTH(Table157[[#This Row],[Date]])+1,1)-1))</f>
        <v>31</v>
      </c>
      <c r="S234" s="4">
        <f ca="1">SUM(OFFSET(Table157[[#Headers],[Days in month]],1,0):Table157[[#This Row],[Days in month]])</f>
        <v>6632</v>
      </c>
      <c r="T234" s="30">
        <f>InterestRate*AmortizationMultiplier*IF(ISNUMBER(SEARCH("Actual",$C$7)),Table157[[#This Row],[Days in month]]/365,1/12)</f>
        <v>2.9708333333333331E-3</v>
      </c>
    </row>
    <row r="235" spans="2:20" x14ac:dyDescent="0.2">
      <c r="B235" s="41">
        <f t="shared" si="10"/>
        <v>52504</v>
      </c>
      <c r="C235" s="4">
        <f t="shared" si="12"/>
        <v>219</v>
      </c>
      <c r="D235" s="32">
        <f t="shared" si="11"/>
        <v>0</v>
      </c>
      <c r="E235" s="32">
        <f>ROUND(Table157[[#This Row],[Beginning Balance]]*Table157[[#This Row],[Monthly Interest Rate]],2)</f>
        <v>0</v>
      </c>
      <c r="F235" s="32">
        <f t="shared" si="13"/>
        <v>37</v>
      </c>
      <c r="G235" s="45">
        <f>IFERROR(IF($C$13="No","N/A",IF(Table157[[#This Row],[Period]]=1,$C$6,PMT(InterestRate*AmortizationMultiplier/12,Table157[[#This Row],[Am Thru]],-Table157[[#This Row],[Beginning Balance]]))),0)</f>
        <v>0</v>
      </c>
      <c r="H235" s="32">
        <f>MAX(0,IF(C235=$C$4,D235,ROUND(IF($C$3="Fixed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5" s="32">
        <f>ROUND(Table157[[#This Row],[Defaulted Principal]]*IF($C$9="No",$E$4,VLOOKUP(Table157[[#This Row],[Period]],[1]Forecast!$H$2:$L$1048576,3,FALSE)),2)</f>
        <v>0</v>
      </c>
      <c r="L235" s="4">
        <f>Table157[[#This Row],[Period]]+$E$9</f>
        <v>231</v>
      </c>
      <c r="M235" s="32">
        <f>Table157[[#This Row],[Defaulted Principal]]-Table157[[#This Row],[Estimated Loss]]</f>
        <v>0</v>
      </c>
      <c r="N235" s="32">
        <f>IFERROR(VLOOKUP(Table157[[#This Row],[Period]],$L$16:$M$385,2,FALSE),0)</f>
        <v>0</v>
      </c>
      <c r="O235" s="32">
        <f>Table157[[#This Row],[Beginning Balance]]-Table157[[#This Row],[Principal]]-Table157[[#This Row],[Prepayments]]-Table157[[#This Row],[Defaulted Principal]]</f>
        <v>0</v>
      </c>
      <c r="P235" s="32">
        <f>Table157[[#This Row],[Principal]]+Table157[[#This Row],[Interest]]+Table157[[#This Row],[Prepayments]]+Table157[[#This Row],[RecoveredAmount]]</f>
        <v>0</v>
      </c>
      <c r="Q235" s="32">
        <f ca="1">ROUND(Table157[[#This Row],[Cash Flow]]/((1+ActualRateToUse)^(IF(ISNUMBER(SEARCH("Actual",$C$7)),Table157[[#This Row],[Running Total]]/365,Table157[[#This Row],[Period]]/12))),2)</f>
        <v>0</v>
      </c>
      <c r="R235" s="4">
        <f>IF(MONTH(Table157[[#This Row],[Date]])=2,28,DAY(DATE(YEAR(Table157[[#This Row],[Date]]),MONTH(Table157[[#This Row],[Date]])+1,1)-1))</f>
        <v>30</v>
      </c>
      <c r="S235" s="4">
        <f ca="1">SUM(OFFSET(Table157[[#Headers],[Days in month]],1,0):Table157[[#This Row],[Days in month]])</f>
        <v>6662</v>
      </c>
      <c r="T235" s="30">
        <f>InterestRate*AmortizationMultiplier*IF(ISNUMBER(SEARCH("Actual",$C$7)),Table157[[#This Row],[Days in month]]/365,1/12)</f>
        <v>2.8749999999999995E-3</v>
      </c>
    </row>
    <row r="236" spans="2:20" x14ac:dyDescent="0.2">
      <c r="B236" s="41">
        <f t="shared" si="10"/>
        <v>52535</v>
      </c>
      <c r="C236" s="4">
        <f t="shared" si="12"/>
        <v>220</v>
      </c>
      <c r="D236" s="32">
        <f t="shared" si="11"/>
        <v>0</v>
      </c>
      <c r="E236" s="32">
        <f>ROUND(Table157[[#This Row],[Beginning Balance]]*Table157[[#This Row],[Monthly Interest Rate]],2)</f>
        <v>0</v>
      </c>
      <c r="F236" s="32">
        <f t="shared" si="13"/>
        <v>36</v>
      </c>
      <c r="G236" s="45">
        <f>IFERROR(IF($C$13="No","N/A",IF(Table157[[#This Row],[Period]]=1,$C$6,PMT(InterestRate*AmortizationMultiplier/12,Table157[[#This Row],[Am Thru]],-Table157[[#This Row],[Beginning Balance]]))),0)</f>
        <v>0</v>
      </c>
      <c r="H236" s="32">
        <f>MAX(0,IF(C236=$C$4,D236,ROUND(IF($C$3="Fixed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6" s="32">
        <f>ROUND(Table157[[#This Row],[Defaulted Principal]]*IF($C$9="No",$E$4,VLOOKUP(Table157[[#This Row],[Period]],[1]Forecast!$H$2:$L$1048576,3,FALSE)),2)</f>
        <v>0</v>
      </c>
      <c r="L236" s="4">
        <f>Table157[[#This Row],[Period]]+$E$9</f>
        <v>232</v>
      </c>
      <c r="M236" s="32">
        <f>Table157[[#This Row],[Defaulted Principal]]-Table157[[#This Row],[Estimated Loss]]</f>
        <v>0</v>
      </c>
      <c r="N236" s="32">
        <f>IFERROR(VLOOKUP(Table157[[#This Row],[Period]],$L$16:$M$385,2,FALSE),0)</f>
        <v>0</v>
      </c>
      <c r="O236" s="32">
        <f>Table157[[#This Row],[Beginning Balance]]-Table157[[#This Row],[Principal]]-Table157[[#This Row],[Prepayments]]-Table157[[#This Row],[Defaulted Principal]]</f>
        <v>0</v>
      </c>
      <c r="P236" s="32">
        <f>Table157[[#This Row],[Principal]]+Table157[[#This Row],[Interest]]+Table157[[#This Row],[Prepayments]]+Table157[[#This Row],[RecoveredAmount]]</f>
        <v>0</v>
      </c>
      <c r="Q236" s="32">
        <f ca="1">ROUND(Table157[[#This Row],[Cash Flow]]/((1+ActualRateToUse)^(IF(ISNUMBER(SEARCH("Actual",$C$7)),Table157[[#This Row],[Running Total]]/365,Table157[[#This Row],[Period]]/12))),2)</f>
        <v>0</v>
      </c>
      <c r="R236" s="4">
        <f>IF(MONTH(Table157[[#This Row],[Date]])=2,28,DAY(DATE(YEAR(Table157[[#This Row],[Date]]),MONTH(Table157[[#This Row],[Date]])+1,1)-1))</f>
        <v>31</v>
      </c>
      <c r="S236" s="4">
        <f ca="1">SUM(OFFSET(Table157[[#Headers],[Days in month]],1,0):Table157[[#This Row],[Days in month]])</f>
        <v>6693</v>
      </c>
      <c r="T236" s="30">
        <f>InterestRate*AmortizationMultiplier*IF(ISNUMBER(SEARCH("Actual",$C$7)),Table157[[#This Row],[Days in month]]/365,1/12)</f>
        <v>2.9708333333333331E-3</v>
      </c>
    </row>
    <row r="237" spans="2:20" x14ac:dyDescent="0.2">
      <c r="B237" s="41">
        <f t="shared" si="10"/>
        <v>52565</v>
      </c>
      <c r="C237" s="4">
        <f t="shared" si="12"/>
        <v>221</v>
      </c>
      <c r="D237" s="32">
        <f t="shared" si="11"/>
        <v>0</v>
      </c>
      <c r="E237" s="32">
        <f>ROUND(Table157[[#This Row],[Beginning Balance]]*Table157[[#This Row],[Monthly Interest Rate]],2)</f>
        <v>0</v>
      </c>
      <c r="F237" s="32">
        <f t="shared" si="13"/>
        <v>35</v>
      </c>
      <c r="G237" s="45">
        <f>IFERROR(IF($C$13="No","N/A",IF(Table157[[#This Row],[Period]]=1,$C$6,PMT(InterestRate*AmortizationMultiplier/12,Table157[[#This Row],[Am Thru]],-Table157[[#This Row],[Beginning Balance]]))),0)</f>
        <v>0</v>
      </c>
      <c r="H237" s="32">
        <f>MAX(0,IF(C237=$C$4,D237,ROUND(IF($C$3="Fixed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7" s="32">
        <f>ROUND(Table157[[#This Row],[Defaulted Principal]]*IF($C$9="No",$E$4,VLOOKUP(Table157[[#This Row],[Period]],[1]Forecast!$H$2:$L$1048576,3,FALSE)),2)</f>
        <v>0</v>
      </c>
      <c r="L237" s="4">
        <f>Table157[[#This Row],[Period]]+$E$9</f>
        <v>233</v>
      </c>
      <c r="M237" s="32">
        <f>Table157[[#This Row],[Defaulted Principal]]-Table157[[#This Row],[Estimated Loss]]</f>
        <v>0</v>
      </c>
      <c r="N237" s="32">
        <f>IFERROR(VLOOKUP(Table157[[#This Row],[Period]],$L$16:$M$385,2,FALSE),0)</f>
        <v>0</v>
      </c>
      <c r="O237" s="32">
        <f>Table157[[#This Row],[Beginning Balance]]-Table157[[#This Row],[Principal]]-Table157[[#This Row],[Prepayments]]-Table157[[#This Row],[Defaulted Principal]]</f>
        <v>0</v>
      </c>
      <c r="P237" s="32">
        <f>Table157[[#This Row],[Principal]]+Table157[[#This Row],[Interest]]+Table157[[#This Row],[Prepayments]]+Table157[[#This Row],[RecoveredAmount]]</f>
        <v>0</v>
      </c>
      <c r="Q237" s="32">
        <f ca="1">ROUND(Table157[[#This Row],[Cash Flow]]/((1+ActualRateToUse)^(IF(ISNUMBER(SEARCH("Actual",$C$7)),Table157[[#This Row],[Running Total]]/365,Table157[[#This Row],[Period]]/12))),2)</f>
        <v>0</v>
      </c>
      <c r="R237" s="4">
        <f>IF(MONTH(Table157[[#This Row],[Date]])=2,28,DAY(DATE(YEAR(Table157[[#This Row],[Date]]),MONTH(Table157[[#This Row],[Date]])+1,1)-1))</f>
        <v>30</v>
      </c>
      <c r="S237" s="4">
        <f ca="1">SUM(OFFSET(Table157[[#Headers],[Days in month]],1,0):Table157[[#This Row],[Days in month]])</f>
        <v>6723</v>
      </c>
      <c r="T237" s="30">
        <f>InterestRate*AmortizationMultiplier*IF(ISNUMBER(SEARCH("Actual",$C$7)),Table157[[#This Row],[Days in month]]/365,1/12)</f>
        <v>2.8749999999999995E-3</v>
      </c>
    </row>
    <row r="238" spans="2:20" x14ac:dyDescent="0.2">
      <c r="B238" s="41">
        <f t="shared" si="10"/>
        <v>52596</v>
      </c>
      <c r="C238" s="4">
        <f t="shared" si="12"/>
        <v>222</v>
      </c>
      <c r="D238" s="32">
        <f t="shared" si="11"/>
        <v>0</v>
      </c>
      <c r="E238" s="32">
        <f>ROUND(Table157[[#This Row],[Beginning Balance]]*Table157[[#This Row],[Monthly Interest Rate]],2)</f>
        <v>0</v>
      </c>
      <c r="F238" s="32">
        <f t="shared" si="13"/>
        <v>34</v>
      </c>
      <c r="G238" s="45">
        <f>IFERROR(IF($C$13="No","N/A",IF(Table157[[#This Row],[Period]]=1,$C$6,PMT(InterestRate*AmortizationMultiplier/12,Table157[[#This Row],[Am Thru]],-Table157[[#This Row],[Beginning Balance]]))),0)</f>
        <v>0</v>
      </c>
      <c r="H238" s="32">
        <f>MAX(0,IF(C238=$C$4,D238,ROUND(IF($C$3="Fixed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8" s="32">
        <f>ROUND(Table157[[#This Row],[Defaulted Principal]]*IF($C$9="No",$E$4,VLOOKUP(Table157[[#This Row],[Period]],[1]Forecast!$H$2:$L$1048576,3,FALSE)),2)</f>
        <v>0</v>
      </c>
      <c r="L238" s="4">
        <f>Table157[[#This Row],[Period]]+$E$9</f>
        <v>234</v>
      </c>
      <c r="M238" s="32">
        <f>Table157[[#This Row],[Defaulted Principal]]-Table157[[#This Row],[Estimated Loss]]</f>
        <v>0</v>
      </c>
      <c r="N238" s="32">
        <f>IFERROR(VLOOKUP(Table157[[#This Row],[Period]],$L$16:$M$385,2,FALSE),0)</f>
        <v>0</v>
      </c>
      <c r="O238" s="32">
        <f>Table157[[#This Row],[Beginning Balance]]-Table157[[#This Row],[Principal]]-Table157[[#This Row],[Prepayments]]-Table157[[#This Row],[Defaulted Principal]]</f>
        <v>0</v>
      </c>
      <c r="P238" s="32">
        <f>Table157[[#This Row],[Principal]]+Table157[[#This Row],[Interest]]+Table157[[#This Row],[Prepayments]]+Table157[[#This Row],[RecoveredAmount]]</f>
        <v>0</v>
      </c>
      <c r="Q238" s="32">
        <f ca="1">ROUND(Table157[[#This Row],[Cash Flow]]/((1+ActualRateToUse)^(IF(ISNUMBER(SEARCH("Actual",$C$7)),Table157[[#This Row],[Running Total]]/365,Table157[[#This Row],[Period]]/12))),2)</f>
        <v>0</v>
      </c>
      <c r="R238" s="4">
        <f>IF(MONTH(Table157[[#This Row],[Date]])=2,28,DAY(DATE(YEAR(Table157[[#This Row],[Date]]),MONTH(Table157[[#This Row],[Date]])+1,1)-1))</f>
        <v>31</v>
      </c>
      <c r="S238" s="4">
        <f ca="1">SUM(OFFSET(Table157[[#Headers],[Days in month]],1,0):Table157[[#This Row],[Days in month]])</f>
        <v>6754</v>
      </c>
      <c r="T238" s="30">
        <f>InterestRate*AmortizationMultiplier*IF(ISNUMBER(SEARCH("Actual",$C$7)),Table157[[#This Row],[Days in month]]/365,1/12)</f>
        <v>2.9708333333333331E-3</v>
      </c>
    </row>
    <row r="239" spans="2:20" x14ac:dyDescent="0.2">
      <c r="B239" s="41">
        <f t="shared" si="10"/>
        <v>52627</v>
      </c>
      <c r="C239" s="4">
        <f t="shared" si="12"/>
        <v>223</v>
      </c>
      <c r="D239" s="32">
        <f t="shared" si="11"/>
        <v>0</v>
      </c>
      <c r="E239" s="32">
        <f>ROUND(Table157[[#This Row],[Beginning Balance]]*Table157[[#This Row],[Monthly Interest Rate]],2)</f>
        <v>0</v>
      </c>
      <c r="F239" s="32">
        <f t="shared" si="13"/>
        <v>33</v>
      </c>
      <c r="G239" s="45">
        <f>IFERROR(IF($C$13="No","N/A",IF(Table157[[#This Row],[Period]]=1,$C$6,PMT(InterestRate*AmortizationMultiplier/12,Table157[[#This Row],[Am Thru]],-Table157[[#This Row],[Beginning Balance]]))),0)</f>
        <v>0</v>
      </c>
      <c r="H239" s="32">
        <f>MAX(0,IF(C239=$C$4,D239,ROUND(IF($C$3="Fixed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3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3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39" s="32">
        <f>ROUND(Table157[[#This Row],[Defaulted Principal]]*IF($C$9="No",$E$4,VLOOKUP(Table157[[#This Row],[Period]],[1]Forecast!$H$2:$L$1048576,3,FALSE)),2)</f>
        <v>0</v>
      </c>
      <c r="L239" s="4">
        <f>Table157[[#This Row],[Period]]+$E$9</f>
        <v>235</v>
      </c>
      <c r="M239" s="32">
        <f>Table157[[#This Row],[Defaulted Principal]]-Table157[[#This Row],[Estimated Loss]]</f>
        <v>0</v>
      </c>
      <c r="N239" s="32">
        <f>IFERROR(VLOOKUP(Table157[[#This Row],[Period]],$L$16:$M$385,2,FALSE),0)</f>
        <v>0</v>
      </c>
      <c r="O239" s="32">
        <f>Table157[[#This Row],[Beginning Balance]]-Table157[[#This Row],[Principal]]-Table157[[#This Row],[Prepayments]]-Table157[[#This Row],[Defaulted Principal]]</f>
        <v>0</v>
      </c>
      <c r="P239" s="32">
        <f>Table157[[#This Row],[Principal]]+Table157[[#This Row],[Interest]]+Table157[[#This Row],[Prepayments]]+Table157[[#This Row],[RecoveredAmount]]</f>
        <v>0</v>
      </c>
      <c r="Q239" s="32">
        <f ca="1">ROUND(Table157[[#This Row],[Cash Flow]]/((1+ActualRateToUse)^(IF(ISNUMBER(SEARCH("Actual",$C$7)),Table157[[#This Row],[Running Total]]/365,Table157[[#This Row],[Period]]/12))),2)</f>
        <v>0</v>
      </c>
      <c r="R239" s="4">
        <f>IF(MONTH(Table157[[#This Row],[Date]])=2,28,DAY(DATE(YEAR(Table157[[#This Row],[Date]]),MONTH(Table157[[#This Row],[Date]])+1,1)-1))</f>
        <v>31</v>
      </c>
      <c r="S239" s="4">
        <f ca="1">SUM(OFFSET(Table157[[#Headers],[Days in month]],1,0):Table157[[#This Row],[Days in month]])</f>
        <v>6785</v>
      </c>
      <c r="T239" s="30">
        <f>InterestRate*AmortizationMultiplier*IF(ISNUMBER(SEARCH("Actual",$C$7)),Table157[[#This Row],[Days in month]]/365,1/12)</f>
        <v>2.9708333333333331E-3</v>
      </c>
    </row>
    <row r="240" spans="2:20" x14ac:dyDescent="0.2">
      <c r="B240" s="41">
        <f t="shared" si="10"/>
        <v>52656</v>
      </c>
      <c r="C240" s="4">
        <f t="shared" si="12"/>
        <v>224</v>
      </c>
      <c r="D240" s="32">
        <f t="shared" si="11"/>
        <v>0</v>
      </c>
      <c r="E240" s="32">
        <f>ROUND(Table157[[#This Row],[Beginning Balance]]*Table157[[#This Row],[Monthly Interest Rate]],2)</f>
        <v>0</v>
      </c>
      <c r="F240" s="32">
        <f t="shared" si="13"/>
        <v>32</v>
      </c>
      <c r="G240" s="45">
        <f>IFERROR(IF($C$13="No","N/A",IF(Table157[[#This Row],[Period]]=1,$C$6,PMT(InterestRate*AmortizationMultiplier/12,Table157[[#This Row],[Am Thru]],-Table157[[#This Row],[Beginning Balance]]))),0)</f>
        <v>0</v>
      </c>
      <c r="H240" s="32">
        <f>MAX(0,IF(C240=$C$4,D240,ROUND(IF($C$3="Fixed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0" s="32">
        <f>ROUND(Table157[[#This Row],[Defaulted Principal]]*IF($C$9="No",$E$4,VLOOKUP(Table157[[#This Row],[Period]],[1]Forecast!$H$2:$L$1048576,3,FALSE)),2)</f>
        <v>0</v>
      </c>
      <c r="L240" s="4">
        <f>Table157[[#This Row],[Period]]+$E$9</f>
        <v>236</v>
      </c>
      <c r="M240" s="32">
        <f>Table157[[#This Row],[Defaulted Principal]]-Table157[[#This Row],[Estimated Loss]]</f>
        <v>0</v>
      </c>
      <c r="N240" s="32">
        <f>IFERROR(VLOOKUP(Table157[[#This Row],[Period]],$L$16:$M$385,2,FALSE),0)</f>
        <v>0</v>
      </c>
      <c r="O240" s="32">
        <f>Table157[[#This Row],[Beginning Balance]]-Table157[[#This Row],[Principal]]-Table157[[#This Row],[Prepayments]]-Table157[[#This Row],[Defaulted Principal]]</f>
        <v>0</v>
      </c>
      <c r="P240" s="32">
        <f>Table157[[#This Row],[Principal]]+Table157[[#This Row],[Interest]]+Table157[[#This Row],[Prepayments]]+Table157[[#This Row],[RecoveredAmount]]</f>
        <v>0</v>
      </c>
      <c r="Q240" s="32">
        <f ca="1">ROUND(Table157[[#This Row],[Cash Flow]]/((1+ActualRateToUse)^(IF(ISNUMBER(SEARCH("Actual",$C$7)),Table157[[#This Row],[Running Total]]/365,Table157[[#This Row],[Period]]/12))),2)</f>
        <v>0</v>
      </c>
      <c r="R240" s="4">
        <f>IF(MONTH(Table157[[#This Row],[Date]])=2,28,DAY(DATE(YEAR(Table157[[#This Row],[Date]]),MONTH(Table157[[#This Row],[Date]])+1,1)-1))</f>
        <v>28</v>
      </c>
      <c r="S240" s="4">
        <f ca="1">SUM(OFFSET(Table157[[#Headers],[Days in month]],1,0):Table157[[#This Row],[Days in month]])</f>
        <v>6813</v>
      </c>
      <c r="T240" s="30">
        <f>InterestRate*AmortizationMultiplier*IF(ISNUMBER(SEARCH("Actual",$C$7)),Table157[[#This Row],[Days in month]]/365,1/12)</f>
        <v>2.6833333333333336E-3</v>
      </c>
    </row>
    <row r="241" spans="2:20" x14ac:dyDescent="0.2">
      <c r="B241" s="41">
        <f t="shared" si="10"/>
        <v>52687</v>
      </c>
      <c r="C241" s="4">
        <f t="shared" si="12"/>
        <v>225</v>
      </c>
      <c r="D241" s="32">
        <f t="shared" si="11"/>
        <v>0</v>
      </c>
      <c r="E241" s="32">
        <f>ROUND(Table157[[#This Row],[Beginning Balance]]*Table157[[#This Row],[Monthly Interest Rate]],2)</f>
        <v>0</v>
      </c>
      <c r="F241" s="32">
        <f t="shared" si="13"/>
        <v>31</v>
      </c>
      <c r="G241" s="45">
        <f>IFERROR(IF($C$13="No","N/A",IF(Table157[[#This Row],[Period]]=1,$C$6,PMT(InterestRate*AmortizationMultiplier/12,Table157[[#This Row],[Am Thru]],-Table157[[#This Row],[Beginning Balance]]))),0)</f>
        <v>0</v>
      </c>
      <c r="H241" s="32">
        <f>MAX(0,IF(C241=$C$4,D241,ROUND(IF($C$3="Fixed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1" s="32">
        <f>ROUND(Table157[[#This Row],[Defaulted Principal]]*IF($C$9="No",$E$4,VLOOKUP(Table157[[#This Row],[Period]],[1]Forecast!$H$2:$L$1048576,3,FALSE)),2)</f>
        <v>0</v>
      </c>
      <c r="L241" s="4">
        <f>Table157[[#This Row],[Period]]+$E$9</f>
        <v>237</v>
      </c>
      <c r="M241" s="32">
        <f>Table157[[#This Row],[Defaulted Principal]]-Table157[[#This Row],[Estimated Loss]]</f>
        <v>0</v>
      </c>
      <c r="N241" s="32">
        <f>IFERROR(VLOOKUP(Table157[[#This Row],[Period]],$L$16:$M$385,2,FALSE),0)</f>
        <v>0</v>
      </c>
      <c r="O241" s="32">
        <f>Table157[[#This Row],[Beginning Balance]]-Table157[[#This Row],[Principal]]-Table157[[#This Row],[Prepayments]]-Table157[[#This Row],[Defaulted Principal]]</f>
        <v>0</v>
      </c>
      <c r="P241" s="32">
        <f>Table157[[#This Row],[Principal]]+Table157[[#This Row],[Interest]]+Table157[[#This Row],[Prepayments]]+Table157[[#This Row],[RecoveredAmount]]</f>
        <v>0</v>
      </c>
      <c r="Q241" s="32">
        <f ca="1">ROUND(Table157[[#This Row],[Cash Flow]]/((1+ActualRateToUse)^(IF(ISNUMBER(SEARCH("Actual",$C$7)),Table157[[#This Row],[Running Total]]/365,Table157[[#This Row],[Period]]/12))),2)</f>
        <v>0</v>
      </c>
      <c r="R241" s="4">
        <f>IF(MONTH(Table157[[#This Row],[Date]])=2,28,DAY(DATE(YEAR(Table157[[#This Row],[Date]]),MONTH(Table157[[#This Row],[Date]])+1,1)-1))</f>
        <v>31</v>
      </c>
      <c r="S241" s="4">
        <f ca="1">SUM(OFFSET(Table157[[#Headers],[Days in month]],1,0):Table157[[#This Row],[Days in month]])</f>
        <v>6844</v>
      </c>
      <c r="T241" s="30">
        <f>InterestRate*AmortizationMultiplier*IF(ISNUMBER(SEARCH("Actual",$C$7)),Table157[[#This Row],[Days in month]]/365,1/12)</f>
        <v>2.9708333333333331E-3</v>
      </c>
    </row>
    <row r="242" spans="2:20" x14ac:dyDescent="0.2">
      <c r="B242" s="41">
        <f t="shared" si="10"/>
        <v>52717</v>
      </c>
      <c r="C242" s="4">
        <f t="shared" si="12"/>
        <v>226</v>
      </c>
      <c r="D242" s="32">
        <f t="shared" si="11"/>
        <v>0</v>
      </c>
      <c r="E242" s="32">
        <f>ROUND(Table157[[#This Row],[Beginning Balance]]*Table157[[#This Row],[Monthly Interest Rate]],2)</f>
        <v>0</v>
      </c>
      <c r="F242" s="32">
        <f t="shared" si="13"/>
        <v>30</v>
      </c>
      <c r="G242" s="45">
        <f>IFERROR(IF($C$13="No","N/A",IF(Table157[[#This Row],[Period]]=1,$C$6,PMT(InterestRate*AmortizationMultiplier/12,Table157[[#This Row],[Am Thru]],-Table157[[#This Row],[Beginning Balance]]))),0)</f>
        <v>0</v>
      </c>
      <c r="H242" s="32">
        <f>MAX(0,IF(C242=$C$4,D242,ROUND(IF($C$3="Fixed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2" s="32">
        <f>ROUND(Table157[[#This Row],[Defaulted Principal]]*IF($C$9="No",$E$4,VLOOKUP(Table157[[#This Row],[Period]],[1]Forecast!$H$2:$L$1048576,3,FALSE)),2)</f>
        <v>0</v>
      </c>
      <c r="L242" s="4">
        <f>Table157[[#This Row],[Period]]+$E$9</f>
        <v>238</v>
      </c>
      <c r="M242" s="32">
        <f>Table157[[#This Row],[Defaulted Principal]]-Table157[[#This Row],[Estimated Loss]]</f>
        <v>0</v>
      </c>
      <c r="N242" s="32">
        <f>IFERROR(VLOOKUP(Table157[[#This Row],[Period]],$L$16:$M$385,2,FALSE),0)</f>
        <v>0</v>
      </c>
      <c r="O242" s="32">
        <f>Table157[[#This Row],[Beginning Balance]]-Table157[[#This Row],[Principal]]-Table157[[#This Row],[Prepayments]]-Table157[[#This Row],[Defaulted Principal]]</f>
        <v>0</v>
      </c>
      <c r="P242" s="32">
        <f>Table157[[#This Row],[Principal]]+Table157[[#This Row],[Interest]]+Table157[[#This Row],[Prepayments]]+Table157[[#This Row],[RecoveredAmount]]</f>
        <v>0</v>
      </c>
      <c r="Q242" s="32">
        <f ca="1">ROUND(Table157[[#This Row],[Cash Flow]]/((1+ActualRateToUse)^(IF(ISNUMBER(SEARCH("Actual",$C$7)),Table157[[#This Row],[Running Total]]/365,Table157[[#This Row],[Period]]/12))),2)</f>
        <v>0</v>
      </c>
      <c r="R242" s="4">
        <f>IF(MONTH(Table157[[#This Row],[Date]])=2,28,DAY(DATE(YEAR(Table157[[#This Row],[Date]]),MONTH(Table157[[#This Row],[Date]])+1,1)-1))</f>
        <v>30</v>
      </c>
      <c r="S242" s="4">
        <f ca="1">SUM(OFFSET(Table157[[#Headers],[Days in month]],1,0):Table157[[#This Row],[Days in month]])</f>
        <v>6874</v>
      </c>
      <c r="T242" s="30">
        <f>InterestRate*AmortizationMultiplier*IF(ISNUMBER(SEARCH("Actual",$C$7)),Table157[[#This Row],[Days in month]]/365,1/12)</f>
        <v>2.8749999999999995E-3</v>
      </c>
    </row>
    <row r="243" spans="2:20" x14ac:dyDescent="0.2">
      <c r="B243" s="41">
        <f t="shared" si="10"/>
        <v>52748</v>
      </c>
      <c r="C243" s="4">
        <f t="shared" si="12"/>
        <v>227</v>
      </c>
      <c r="D243" s="32">
        <f t="shared" si="11"/>
        <v>0</v>
      </c>
      <c r="E243" s="32">
        <f>ROUND(Table157[[#This Row],[Beginning Balance]]*Table157[[#This Row],[Monthly Interest Rate]],2)</f>
        <v>0</v>
      </c>
      <c r="F243" s="32">
        <f t="shared" si="13"/>
        <v>29</v>
      </c>
      <c r="G243" s="45">
        <f>IFERROR(IF($C$13="No","N/A",IF(Table157[[#This Row],[Period]]=1,$C$6,PMT(InterestRate*AmortizationMultiplier/12,Table157[[#This Row],[Am Thru]],-Table157[[#This Row],[Beginning Balance]]))),0)</f>
        <v>0</v>
      </c>
      <c r="H243" s="32">
        <f>MAX(0,IF(C243=$C$4,D243,ROUND(IF($C$3="Fixed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3" s="32">
        <f>ROUND(Table157[[#This Row],[Defaulted Principal]]*IF($C$9="No",$E$4,VLOOKUP(Table157[[#This Row],[Period]],[1]Forecast!$H$2:$L$1048576,3,FALSE)),2)</f>
        <v>0</v>
      </c>
      <c r="L243" s="4">
        <f>Table157[[#This Row],[Period]]+$E$9</f>
        <v>239</v>
      </c>
      <c r="M243" s="32">
        <f>Table157[[#This Row],[Defaulted Principal]]-Table157[[#This Row],[Estimated Loss]]</f>
        <v>0</v>
      </c>
      <c r="N243" s="32">
        <f>IFERROR(VLOOKUP(Table157[[#This Row],[Period]],$L$16:$M$385,2,FALSE),0)</f>
        <v>0</v>
      </c>
      <c r="O243" s="32">
        <f>Table157[[#This Row],[Beginning Balance]]-Table157[[#This Row],[Principal]]-Table157[[#This Row],[Prepayments]]-Table157[[#This Row],[Defaulted Principal]]</f>
        <v>0</v>
      </c>
      <c r="P243" s="32">
        <f>Table157[[#This Row],[Principal]]+Table157[[#This Row],[Interest]]+Table157[[#This Row],[Prepayments]]+Table157[[#This Row],[RecoveredAmount]]</f>
        <v>0</v>
      </c>
      <c r="Q243" s="32">
        <f ca="1">ROUND(Table157[[#This Row],[Cash Flow]]/((1+ActualRateToUse)^(IF(ISNUMBER(SEARCH("Actual",$C$7)),Table157[[#This Row],[Running Total]]/365,Table157[[#This Row],[Period]]/12))),2)</f>
        <v>0</v>
      </c>
      <c r="R243" s="4">
        <f>IF(MONTH(Table157[[#This Row],[Date]])=2,28,DAY(DATE(YEAR(Table157[[#This Row],[Date]]),MONTH(Table157[[#This Row],[Date]])+1,1)-1))</f>
        <v>31</v>
      </c>
      <c r="S243" s="4">
        <f ca="1">SUM(OFFSET(Table157[[#Headers],[Days in month]],1,0):Table157[[#This Row],[Days in month]])</f>
        <v>6905</v>
      </c>
      <c r="T243" s="30">
        <f>InterestRate*AmortizationMultiplier*IF(ISNUMBER(SEARCH("Actual",$C$7)),Table157[[#This Row],[Days in month]]/365,1/12)</f>
        <v>2.9708333333333331E-3</v>
      </c>
    </row>
    <row r="244" spans="2:20" x14ac:dyDescent="0.2">
      <c r="B244" s="41">
        <f t="shared" si="10"/>
        <v>52778</v>
      </c>
      <c r="C244" s="4">
        <f t="shared" si="12"/>
        <v>228</v>
      </c>
      <c r="D244" s="32">
        <f t="shared" si="11"/>
        <v>0</v>
      </c>
      <c r="E244" s="32">
        <f>ROUND(Table157[[#This Row],[Beginning Balance]]*Table157[[#This Row],[Monthly Interest Rate]],2)</f>
        <v>0</v>
      </c>
      <c r="F244" s="32">
        <f t="shared" si="13"/>
        <v>28</v>
      </c>
      <c r="G244" s="45">
        <f>IFERROR(IF($C$13="No","N/A",IF(Table157[[#This Row],[Period]]=1,$C$6,PMT(InterestRate*AmortizationMultiplier/12,Table157[[#This Row],[Am Thru]],-Table157[[#This Row],[Beginning Balance]]))),0)</f>
        <v>0</v>
      </c>
      <c r="H244" s="32">
        <f>MAX(0,IF(C244=$C$4,D244,ROUND(IF($C$3="Fixed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4" s="32">
        <f>ROUND(Table157[[#This Row],[Defaulted Principal]]*IF($C$9="No",$E$4,VLOOKUP(Table157[[#This Row],[Period]],[1]Forecast!$H$2:$L$1048576,3,FALSE)),2)</f>
        <v>0</v>
      </c>
      <c r="L244" s="4">
        <f>Table157[[#This Row],[Period]]+$E$9</f>
        <v>240</v>
      </c>
      <c r="M244" s="32">
        <f>Table157[[#This Row],[Defaulted Principal]]-Table157[[#This Row],[Estimated Loss]]</f>
        <v>0</v>
      </c>
      <c r="N244" s="32">
        <f>IFERROR(VLOOKUP(Table157[[#This Row],[Period]],$L$16:$M$385,2,FALSE),0)</f>
        <v>0</v>
      </c>
      <c r="O244" s="32">
        <f>Table157[[#This Row],[Beginning Balance]]-Table157[[#This Row],[Principal]]-Table157[[#This Row],[Prepayments]]-Table157[[#This Row],[Defaulted Principal]]</f>
        <v>0</v>
      </c>
      <c r="P244" s="32">
        <f>Table157[[#This Row],[Principal]]+Table157[[#This Row],[Interest]]+Table157[[#This Row],[Prepayments]]+Table157[[#This Row],[RecoveredAmount]]</f>
        <v>0</v>
      </c>
      <c r="Q244" s="32">
        <f ca="1">ROUND(Table157[[#This Row],[Cash Flow]]/((1+ActualRateToUse)^(IF(ISNUMBER(SEARCH("Actual",$C$7)),Table157[[#This Row],[Running Total]]/365,Table157[[#This Row],[Period]]/12))),2)</f>
        <v>0</v>
      </c>
      <c r="R244" s="4">
        <f>IF(MONTH(Table157[[#This Row],[Date]])=2,28,DAY(DATE(YEAR(Table157[[#This Row],[Date]]),MONTH(Table157[[#This Row],[Date]])+1,1)-1))</f>
        <v>30</v>
      </c>
      <c r="S244" s="4">
        <f ca="1">SUM(OFFSET(Table157[[#Headers],[Days in month]],1,0):Table157[[#This Row],[Days in month]])</f>
        <v>6935</v>
      </c>
      <c r="T244" s="30">
        <f>InterestRate*AmortizationMultiplier*IF(ISNUMBER(SEARCH("Actual",$C$7)),Table157[[#This Row],[Days in month]]/365,1/12)</f>
        <v>2.8749999999999995E-3</v>
      </c>
    </row>
    <row r="245" spans="2:20" x14ac:dyDescent="0.2">
      <c r="B245" s="41">
        <f t="shared" si="10"/>
        <v>52809</v>
      </c>
      <c r="C245" s="4">
        <f t="shared" si="12"/>
        <v>229</v>
      </c>
      <c r="D245" s="32">
        <f t="shared" si="11"/>
        <v>0</v>
      </c>
      <c r="E245" s="32">
        <f>ROUND(Table157[[#This Row],[Beginning Balance]]*Table157[[#This Row],[Monthly Interest Rate]],2)</f>
        <v>0</v>
      </c>
      <c r="F245" s="32">
        <f t="shared" si="13"/>
        <v>27</v>
      </c>
      <c r="G245" s="45">
        <f>IFERROR(IF($C$13="No","N/A",IF(Table157[[#This Row],[Period]]=1,$C$6,PMT(InterestRate*AmortizationMultiplier/12,Table157[[#This Row],[Am Thru]],-Table157[[#This Row],[Beginning Balance]]))),0)</f>
        <v>0</v>
      </c>
      <c r="H245" s="32">
        <f>MAX(0,IF(C245=$C$4,D245,ROUND(IF($C$3="Fixed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5" s="32">
        <f>ROUND(Table157[[#This Row],[Defaulted Principal]]*IF($C$9="No",$E$4,VLOOKUP(Table157[[#This Row],[Period]],[1]Forecast!$H$2:$L$1048576,3,FALSE)),2)</f>
        <v>0</v>
      </c>
      <c r="L245" s="4">
        <f>Table157[[#This Row],[Period]]+$E$9</f>
        <v>241</v>
      </c>
      <c r="M245" s="32">
        <f>Table157[[#This Row],[Defaulted Principal]]-Table157[[#This Row],[Estimated Loss]]</f>
        <v>0</v>
      </c>
      <c r="N245" s="32">
        <f>IFERROR(VLOOKUP(Table157[[#This Row],[Period]],$L$16:$M$385,2,FALSE),0)</f>
        <v>0</v>
      </c>
      <c r="O245" s="32">
        <f>Table157[[#This Row],[Beginning Balance]]-Table157[[#This Row],[Principal]]-Table157[[#This Row],[Prepayments]]-Table157[[#This Row],[Defaulted Principal]]</f>
        <v>0</v>
      </c>
      <c r="P245" s="32">
        <f>Table157[[#This Row],[Principal]]+Table157[[#This Row],[Interest]]+Table157[[#This Row],[Prepayments]]+Table157[[#This Row],[RecoveredAmount]]</f>
        <v>0</v>
      </c>
      <c r="Q245" s="32">
        <f ca="1">ROUND(Table157[[#This Row],[Cash Flow]]/((1+ActualRateToUse)^(IF(ISNUMBER(SEARCH("Actual",$C$7)),Table157[[#This Row],[Running Total]]/365,Table157[[#This Row],[Period]]/12))),2)</f>
        <v>0</v>
      </c>
      <c r="R245" s="4">
        <f>IF(MONTH(Table157[[#This Row],[Date]])=2,28,DAY(DATE(YEAR(Table157[[#This Row],[Date]]),MONTH(Table157[[#This Row],[Date]])+1,1)-1))</f>
        <v>31</v>
      </c>
      <c r="S245" s="4">
        <f ca="1">SUM(OFFSET(Table157[[#Headers],[Days in month]],1,0):Table157[[#This Row],[Days in month]])</f>
        <v>6966</v>
      </c>
      <c r="T245" s="30">
        <f>InterestRate*AmortizationMultiplier*IF(ISNUMBER(SEARCH("Actual",$C$7)),Table157[[#This Row],[Days in month]]/365,1/12)</f>
        <v>2.9708333333333331E-3</v>
      </c>
    </row>
    <row r="246" spans="2:20" x14ac:dyDescent="0.2">
      <c r="B246" s="41">
        <f t="shared" si="10"/>
        <v>52840</v>
      </c>
      <c r="C246" s="4">
        <f t="shared" si="12"/>
        <v>230</v>
      </c>
      <c r="D246" s="32">
        <f t="shared" si="11"/>
        <v>0</v>
      </c>
      <c r="E246" s="32">
        <f>ROUND(Table157[[#This Row],[Beginning Balance]]*Table157[[#This Row],[Monthly Interest Rate]],2)</f>
        <v>0</v>
      </c>
      <c r="F246" s="32">
        <f t="shared" si="13"/>
        <v>26</v>
      </c>
      <c r="G246" s="45">
        <f>IFERROR(IF($C$13="No","N/A",IF(Table157[[#This Row],[Period]]=1,$C$6,PMT(InterestRate*AmortizationMultiplier/12,Table157[[#This Row],[Am Thru]],-Table157[[#This Row],[Beginning Balance]]))),0)</f>
        <v>0</v>
      </c>
      <c r="H246" s="32">
        <f>MAX(0,IF(C246=$C$4,D246,ROUND(IF($C$3="Fixed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6" s="32">
        <f>ROUND(Table157[[#This Row],[Defaulted Principal]]*IF($C$9="No",$E$4,VLOOKUP(Table157[[#This Row],[Period]],[1]Forecast!$H$2:$L$1048576,3,FALSE)),2)</f>
        <v>0</v>
      </c>
      <c r="L246" s="4">
        <f>Table157[[#This Row],[Period]]+$E$9</f>
        <v>242</v>
      </c>
      <c r="M246" s="32">
        <f>Table157[[#This Row],[Defaulted Principal]]-Table157[[#This Row],[Estimated Loss]]</f>
        <v>0</v>
      </c>
      <c r="N246" s="32">
        <f>IFERROR(VLOOKUP(Table157[[#This Row],[Period]],$L$16:$M$385,2,FALSE),0)</f>
        <v>0</v>
      </c>
      <c r="O246" s="32">
        <f>Table157[[#This Row],[Beginning Balance]]-Table157[[#This Row],[Principal]]-Table157[[#This Row],[Prepayments]]-Table157[[#This Row],[Defaulted Principal]]</f>
        <v>0</v>
      </c>
      <c r="P246" s="32">
        <f>Table157[[#This Row],[Principal]]+Table157[[#This Row],[Interest]]+Table157[[#This Row],[Prepayments]]+Table157[[#This Row],[RecoveredAmount]]</f>
        <v>0</v>
      </c>
      <c r="Q246" s="32">
        <f ca="1">ROUND(Table157[[#This Row],[Cash Flow]]/((1+ActualRateToUse)^(IF(ISNUMBER(SEARCH("Actual",$C$7)),Table157[[#This Row],[Running Total]]/365,Table157[[#This Row],[Period]]/12))),2)</f>
        <v>0</v>
      </c>
      <c r="R246" s="4">
        <f>IF(MONTH(Table157[[#This Row],[Date]])=2,28,DAY(DATE(YEAR(Table157[[#This Row],[Date]]),MONTH(Table157[[#This Row],[Date]])+1,1)-1))</f>
        <v>31</v>
      </c>
      <c r="S246" s="4">
        <f ca="1">SUM(OFFSET(Table157[[#Headers],[Days in month]],1,0):Table157[[#This Row],[Days in month]])</f>
        <v>6997</v>
      </c>
      <c r="T246" s="30">
        <f>InterestRate*AmortizationMultiplier*IF(ISNUMBER(SEARCH("Actual",$C$7)),Table157[[#This Row],[Days in month]]/365,1/12)</f>
        <v>2.9708333333333331E-3</v>
      </c>
    </row>
    <row r="247" spans="2:20" x14ac:dyDescent="0.2">
      <c r="B247" s="41">
        <f t="shared" si="10"/>
        <v>52870</v>
      </c>
      <c r="C247" s="4">
        <f t="shared" si="12"/>
        <v>231</v>
      </c>
      <c r="D247" s="32">
        <f t="shared" si="11"/>
        <v>0</v>
      </c>
      <c r="E247" s="32">
        <f>ROUND(Table157[[#This Row],[Beginning Balance]]*Table157[[#This Row],[Monthly Interest Rate]],2)</f>
        <v>0</v>
      </c>
      <c r="F247" s="32">
        <f t="shared" si="13"/>
        <v>25</v>
      </c>
      <c r="G247" s="45">
        <f>IFERROR(IF($C$13="No","N/A",IF(Table157[[#This Row],[Period]]=1,$C$6,PMT(InterestRate*AmortizationMultiplier/12,Table157[[#This Row],[Am Thru]],-Table157[[#This Row],[Beginning Balance]]))),0)</f>
        <v>0</v>
      </c>
      <c r="H247" s="32">
        <f>MAX(0,IF(C247=$C$4,D247,ROUND(IF($C$3="Fixed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7" s="32">
        <f>ROUND(Table157[[#This Row],[Defaulted Principal]]*IF($C$9="No",$E$4,VLOOKUP(Table157[[#This Row],[Period]],[1]Forecast!$H$2:$L$1048576,3,FALSE)),2)</f>
        <v>0</v>
      </c>
      <c r="L247" s="4">
        <f>Table157[[#This Row],[Period]]+$E$9</f>
        <v>243</v>
      </c>
      <c r="M247" s="32">
        <f>Table157[[#This Row],[Defaulted Principal]]-Table157[[#This Row],[Estimated Loss]]</f>
        <v>0</v>
      </c>
      <c r="N247" s="32">
        <f>IFERROR(VLOOKUP(Table157[[#This Row],[Period]],$L$16:$M$385,2,FALSE),0)</f>
        <v>0</v>
      </c>
      <c r="O247" s="32">
        <f>Table157[[#This Row],[Beginning Balance]]-Table157[[#This Row],[Principal]]-Table157[[#This Row],[Prepayments]]-Table157[[#This Row],[Defaulted Principal]]</f>
        <v>0</v>
      </c>
      <c r="P247" s="32">
        <f>Table157[[#This Row],[Principal]]+Table157[[#This Row],[Interest]]+Table157[[#This Row],[Prepayments]]+Table157[[#This Row],[RecoveredAmount]]</f>
        <v>0</v>
      </c>
      <c r="Q247" s="32">
        <f ca="1">ROUND(Table157[[#This Row],[Cash Flow]]/((1+ActualRateToUse)^(IF(ISNUMBER(SEARCH("Actual",$C$7)),Table157[[#This Row],[Running Total]]/365,Table157[[#This Row],[Period]]/12))),2)</f>
        <v>0</v>
      </c>
      <c r="R247" s="4">
        <f>IF(MONTH(Table157[[#This Row],[Date]])=2,28,DAY(DATE(YEAR(Table157[[#This Row],[Date]]),MONTH(Table157[[#This Row],[Date]])+1,1)-1))</f>
        <v>30</v>
      </c>
      <c r="S247" s="4">
        <f ca="1">SUM(OFFSET(Table157[[#Headers],[Days in month]],1,0):Table157[[#This Row],[Days in month]])</f>
        <v>7027</v>
      </c>
      <c r="T247" s="30">
        <f>InterestRate*AmortizationMultiplier*IF(ISNUMBER(SEARCH("Actual",$C$7)),Table157[[#This Row],[Days in month]]/365,1/12)</f>
        <v>2.8749999999999995E-3</v>
      </c>
    </row>
    <row r="248" spans="2:20" x14ac:dyDescent="0.2">
      <c r="B248" s="41">
        <f t="shared" si="10"/>
        <v>52901</v>
      </c>
      <c r="C248" s="4">
        <f t="shared" si="12"/>
        <v>232</v>
      </c>
      <c r="D248" s="32">
        <f t="shared" si="11"/>
        <v>0</v>
      </c>
      <c r="E248" s="32">
        <f>ROUND(Table157[[#This Row],[Beginning Balance]]*Table157[[#This Row],[Monthly Interest Rate]],2)</f>
        <v>0</v>
      </c>
      <c r="F248" s="32">
        <f t="shared" si="13"/>
        <v>24</v>
      </c>
      <c r="G248" s="45">
        <f>IFERROR(IF($C$13="No","N/A",IF(Table157[[#This Row],[Period]]=1,$C$6,PMT(InterestRate*AmortizationMultiplier/12,Table157[[#This Row],[Am Thru]],-Table157[[#This Row],[Beginning Balance]]))),0)</f>
        <v>0</v>
      </c>
      <c r="H248" s="32">
        <f>MAX(0,IF(C248=$C$4,D248,ROUND(IF($C$3="Fixed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8" s="32">
        <f>ROUND(Table157[[#This Row],[Defaulted Principal]]*IF($C$9="No",$E$4,VLOOKUP(Table157[[#This Row],[Period]],[1]Forecast!$H$2:$L$1048576,3,FALSE)),2)</f>
        <v>0</v>
      </c>
      <c r="L248" s="4">
        <f>Table157[[#This Row],[Period]]+$E$9</f>
        <v>244</v>
      </c>
      <c r="M248" s="32">
        <f>Table157[[#This Row],[Defaulted Principal]]-Table157[[#This Row],[Estimated Loss]]</f>
        <v>0</v>
      </c>
      <c r="N248" s="32">
        <f>IFERROR(VLOOKUP(Table157[[#This Row],[Period]],$L$16:$M$385,2,FALSE),0)</f>
        <v>0</v>
      </c>
      <c r="O248" s="32">
        <f>Table157[[#This Row],[Beginning Balance]]-Table157[[#This Row],[Principal]]-Table157[[#This Row],[Prepayments]]-Table157[[#This Row],[Defaulted Principal]]</f>
        <v>0</v>
      </c>
      <c r="P248" s="32">
        <f>Table157[[#This Row],[Principal]]+Table157[[#This Row],[Interest]]+Table157[[#This Row],[Prepayments]]+Table157[[#This Row],[RecoveredAmount]]</f>
        <v>0</v>
      </c>
      <c r="Q248" s="32">
        <f ca="1">ROUND(Table157[[#This Row],[Cash Flow]]/((1+ActualRateToUse)^(IF(ISNUMBER(SEARCH("Actual",$C$7)),Table157[[#This Row],[Running Total]]/365,Table157[[#This Row],[Period]]/12))),2)</f>
        <v>0</v>
      </c>
      <c r="R248" s="4">
        <f>IF(MONTH(Table157[[#This Row],[Date]])=2,28,DAY(DATE(YEAR(Table157[[#This Row],[Date]]),MONTH(Table157[[#This Row],[Date]])+1,1)-1))</f>
        <v>31</v>
      </c>
      <c r="S248" s="4">
        <f ca="1">SUM(OFFSET(Table157[[#Headers],[Days in month]],1,0):Table157[[#This Row],[Days in month]])</f>
        <v>7058</v>
      </c>
      <c r="T248" s="30">
        <f>InterestRate*AmortizationMultiplier*IF(ISNUMBER(SEARCH("Actual",$C$7)),Table157[[#This Row],[Days in month]]/365,1/12)</f>
        <v>2.9708333333333331E-3</v>
      </c>
    </row>
    <row r="249" spans="2:20" x14ac:dyDescent="0.2">
      <c r="B249" s="41">
        <f t="shared" si="10"/>
        <v>52931</v>
      </c>
      <c r="C249" s="4">
        <f t="shared" si="12"/>
        <v>233</v>
      </c>
      <c r="D249" s="32">
        <f t="shared" si="11"/>
        <v>0</v>
      </c>
      <c r="E249" s="32">
        <f>ROUND(Table157[[#This Row],[Beginning Balance]]*Table157[[#This Row],[Monthly Interest Rate]],2)</f>
        <v>0</v>
      </c>
      <c r="F249" s="32">
        <f t="shared" si="13"/>
        <v>23</v>
      </c>
      <c r="G249" s="45">
        <f>IFERROR(IF($C$13="No","N/A",IF(Table157[[#This Row],[Period]]=1,$C$6,PMT(InterestRate*AmortizationMultiplier/12,Table157[[#This Row],[Am Thru]],-Table157[[#This Row],[Beginning Balance]]))),0)</f>
        <v>0</v>
      </c>
      <c r="H249" s="32">
        <f>MAX(0,IF(C249=$C$4,D249,ROUND(IF($C$3="Fixed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4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4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49" s="32">
        <f>ROUND(Table157[[#This Row],[Defaulted Principal]]*IF($C$9="No",$E$4,VLOOKUP(Table157[[#This Row],[Period]],[1]Forecast!$H$2:$L$1048576,3,FALSE)),2)</f>
        <v>0</v>
      </c>
      <c r="L249" s="4">
        <f>Table157[[#This Row],[Period]]+$E$9</f>
        <v>245</v>
      </c>
      <c r="M249" s="32">
        <f>Table157[[#This Row],[Defaulted Principal]]-Table157[[#This Row],[Estimated Loss]]</f>
        <v>0</v>
      </c>
      <c r="N249" s="32">
        <f>IFERROR(VLOOKUP(Table157[[#This Row],[Period]],$L$16:$M$385,2,FALSE),0)</f>
        <v>0</v>
      </c>
      <c r="O249" s="32">
        <f>Table157[[#This Row],[Beginning Balance]]-Table157[[#This Row],[Principal]]-Table157[[#This Row],[Prepayments]]-Table157[[#This Row],[Defaulted Principal]]</f>
        <v>0</v>
      </c>
      <c r="P249" s="32">
        <f>Table157[[#This Row],[Principal]]+Table157[[#This Row],[Interest]]+Table157[[#This Row],[Prepayments]]+Table157[[#This Row],[RecoveredAmount]]</f>
        <v>0</v>
      </c>
      <c r="Q249" s="32">
        <f ca="1">ROUND(Table157[[#This Row],[Cash Flow]]/((1+ActualRateToUse)^(IF(ISNUMBER(SEARCH("Actual",$C$7)),Table157[[#This Row],[Running Total]]/365,Table157[[#This Row],[Period]]/12))),2)</f>
        <v>0</v>
      </c>
      <c r="R249" s="4">
        <f>IF(MONTH(Table157[[#This Row],[Date]])=2,28,DAY(DATE(YEAR(Table157[[#This Row],[Date]]),MONTH(Table157[[#This Row],[Date]])+1,1)-1))</f>
        <v>30</v>
      </c>
      <c r="S249" s="4">
        <f ca="1">SUM(OFFSET(Table157[[#Headers],[Days in month]],1,0):Table157[[#This Row],[Days in month]])</f>
        <v>7088</v>
      </c>
      <c r="T249" s="30">
        <f>InterestRate*AmortizationMultiplier*IF(ISNUMBER(SEARCH("Actual",$C$7)),Table157[[#This Row],[Days in month]]/365,1/12)</f>
        <v>2.8749999999999995E-3</v>
      </c>
    </row>
    <row r="250" spans="2:20" x14ac:dyDescent="0.2">
      <c r="B250" s="41">
        <f t="shared" si="10"/>
        <v>52962</v>
      </c>
      <c r="C250" s="4">
        <f t="shared" si="12"/>
        <v>234</v>
      </c>
      <c r="D250" s="32">
        <f t="shared" si="11"/>
        <v>0</v>
      </c>
      <c r="E250" s="32">
        <f>ROUND(Table157[[#This Row],[Beginning Balance]]*Table157[[#This Row],[Monthly Interest Rate]],2)</f>
        <v>0</v>
      </c>
      <c r="F250" s="32">
        <f t="shared" si="13"/>
        <v>22</v>
      </c>
      <c r="G250" s="45">
        <f>IFERROR(IF($C$13="No","N/A",IF(Table157[[#This Row],[Period]]=1,$C$6,PMT(InterestRate*AmortizationMultiplier/12,Table157[[#This Row],[Am Thru]],-Table157[[#This Row],[Beginning Balance]]))),0)</f>
        <v>0</v>
      </c>
      <c r="H250" s="32">
        <f>MAX(0,IF(C250=$C$4,D250,ROUND(IF($C$3="Fixed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0" s="32">
        <f>ROUND(Table157[[#This Row],[Defaulted Principal]]*IF($C$9="No",$E$4,VLOOKUP(Table157[[#This Row],[Period]],[1]Forecast!$H$2:$L$1048576,3,FALSE)),2)</f>
        <v>0</v>
      </c>
      <c r="L250" s="4">
        <f>Table157[[#This Row],[Period]]+$E$9</f>
        <v>246</v>
      </c>
      <c r="M250" s="32">
        <f>Table157[[#This Row],[Defaulted Principal]]-Table157[[#This Row],[Estimated Loss]]</f>
        <v>0</v>
      </c>
      <c r="N250" s="32">
        <f>IFERROR(VLOOKUP(Table157[[#This Row],[Period]],$L$16:$M$385,2,FALSE),0)</f>
        <v>0</v>
      </c>
      <c r="O250" s="32">
        <f>Table157[[#This Row],[Beginning Balance]]-Table157[[#This Row],[Principal]]-Table157[[#This Row],[Prepayments]]-Table157[[#This Row],[Defaulted Principal]]</f>
        <v>0</v>
      </c>
      <c r="P250" s="32">
        <f>Table157[[#This Row],[Principal]]+Table157[[#This Row],[Interest]]+Table157[[#This Row],[Prepayments]]+Table157[[#This Row],[RecoveredAmount]]</f>
        <v>0</v>
      </c>
      <c r="Q250" s="32">
        <f ca="1">ROUND(Table157[[#This Row],[Cash Flow]]/((1+ActualRateToUse)^(IF(ISNUMBER(SEARCH("Actual",$C$7)),Table157[[#This Row],[Running Total]]/365,Table157[[#This Row],[Period]]/12))),2)</f>
        <v>0</v>
      </c>
      <c r="R250" s="4">
        <f>IF(MONTH(Table157[[#This Row],[Date]])=2,28,DAY(DATE(YEAR(Table157[[#This Row],[Date]]),MONTH(Table157[[#This Row],[Date]])+1,1)-1))</f>
        <v>31</v>
      </c>
      <c r="S250" s="4">
        <f ca="1">SUM(OFFSET(Table157[[#Headers],[Days in month]],1,0):Table157[[#This Row],[Days in month]])</f>
        <v>7119</v>
      </c>
      <c r="T250" s="30">
        <f>InterestRate*AmortizationMultiplier*IF(ISNUMBER(SEARCH("Actual",$C$7)),Table157[[#This Row],[Days in month]]/365,1/12)</f>
        <v>2.9708333333333331E-3</v>
      </c>
    </row>
    <row r="251" spans="2:20" x14ac:dyDescent="0.2">
      <c r="B251" s="41">
        <f t="shared" si="10"/>
        <v>52993</v>
      </c>
      <c r="C251" s="4">
        <f t="shared" si="12"/>
        <v>235</v>
      </c>
      <c r="D251" s="32">
        <f t="shared" si="11"/>
        <v>0</v>
      </c>
      <c r="E251" s="32">
        <f>ROUND(Table157[[#This Row],[Beginning Balance]]*Table157[[#This Row],[Monthly Interest Rate]],2)</f>
        <v>0</v>
      </c>
      <c r="F251" s="32">
        <f t="shared" si="13"/>
        <v>21</v>
      </c>
      <c r="G251" s="45">
        <f>IFERROR(IF($C$13="No","N/A",IF(Table157[[#This Row],[Period]]=1,$C$6,PMT(InterestRate*AmortizationMultiplier/12,Table157[[#This Row],[Am Thru]],-Table157[[#This Row],[Beginning Balance]]))),0)</f>
        <v>0</v>
      </c>
      <c r="H251" s="32">
        <f>MAX(0,IF(C251=$C$4,D251,ROUND(IF($C$3="Fixed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1" s="32">
        <f>ROUND(Table157[[#This Row],[Defaulted Principal]]*IF($C$9="No",$E$4,VLOOKUP(Table157[[#This Row],[Period]],[1]Forecast!$H$2:$L$1048576,3,FALSE)),2)</f>
        <v>0</v>
      </c>
      <c r="L251" s="4">
        <f>Table157[[#This Row],[Period]]+$E$9</f>
        <v>247</v>
      </c>
      <c r="M251" s="32">
        <f>Table157[[#This Row],[Defaulted Principal]]-Table157[[#This Row],[Estimated Loss]]</f>
        <v>0</v>
      </c>
      <c r="N251" s="32">
        <f>IFERROR(VLOOKUP(Table157[[#This Row],[Period]],$L$16:$M$385,2,FALSE),0)</f>
        <v>0</v>
      </c>
      <c r="O251" s="32">
        <f>Table157[[#This Row],[Beginning Balance]]-Table157[[#This Row],[Principal]]-Table157[[#This Row],[Prepayments]]-Table157[[#This Row],[Defaulted Principal]]</f>
        <v>0</v>
      </c>
      <c r="P251" s="32">
        <f>Table157[[#This Row],[Principal]]+Table157[[#This Row],[Interest]]+Table157[[#This Row],[Prepayments]]+Table157[[#This Row],[RecoveredAmount]]</f>
        <v>0</v>
      </c>
      <c r="Q251" s="32">
        <f ca="1">ROUND(Table157[[#This Row],[Cash Flow]]/((1+ActualRateToUse)^(IF(ISNUMBER(SEARCH("Actual",$C$7)),Table157[[#This Row],[Running Total]]/365,Table157[[#This Row],[Period]]/12))),2)</f>
        <v>0</v>
      </c>
      <c r="R251" s="4">
        <f>IF(MONTH(Table157[[#This Row],[Date]])=2,28,DAY(DATE(YEAR(Table157[[#This Row],[Date]]),MONTH(Table157[[#This Row],[Date]])+1,1)-1))</f>
        <v>31</v>
      </c>
      <c r="S251" s="4">
        <f ca="1">SUM(OFFSET(Table157[[#Headers],[Days in month]],1,0):Table157[[#This Row],[Days in month]])</f>
        <v>7150</v>
      </c>
      <c r="T251" s="30">
        <f>InterestRate*AmortizationMultiplier*IF(ISNUMBER(SEARCH("Actual",$C$7)),Table157[[#This Row],[Days in month]]/365,1/12)</f>
        <v>2.9708333333333331E-3</v>
      </c>
    </row>
    <row r="252" spans="2:20" x14ac:dyDescent="0.2">
      <c r="B252" s="41">
        <f t="shared" si="10"/>
        <v>53021</v>
      </c>
      <c r="C252" s="4">
        <f t="shared" si="12"/>
        <v>236</v>
      </c>
      <c r="D252" s="32">
        <f t="shared" si="11"/>
        <v>0</v>
      </c>
      <c r="E252" s="32">
        <f>ROUND(Table157[[#This Row],[Beginning Balance]]*Table157[[#This Row],[Monthly Interest Rate]],2)</f>
        <v>0</v>
      </c>
      <c r="F252" s="32">
        <f t="shared" si="13"/>
        <v>20</v>
      </c>
      <c r="G252" s="45">
        <f>IFERROR(IF($C$13="No","N/A",IF(Table157[[#This Row],[Period]]=1,$C$6,PMT(InterestRate*AmortizationMultiplier/12,Table157[[#This Row],[Am Thru]],-Table157[[#This Row],[Beginning Balance]]))),0)</f>
        <v>0</v>
      </c>
      <c r="H252" s="32">
        <f>MAX(0,IF(C252=$C$4,D252,ROUND(IF($C$3="Fixed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2" s="32">
        <f>ROUND(Table157[[#This Row],[Defaulted Principal]]*IF($C$9="No",$E$4,VLOOKUP(Table157[[#This Row],[Period]],[1]Forecast!$H$2:$L$1048576,3,FALSE)),2)</f>
        <v>0</v>
      </c>
      <c r="L252" s="4">
        <f>Table157[[#This Row],[Period]]+$E$9</f>
        <v>248</v>
      </c>
      <c r="M252" s="32">
        <f>Table157[[#This Row],[Defaulted Principal]]-Table157[[#This Row],[Estimated Loss]]</f>
        <v>0</v>
      </c>
      <c r="N252" s="32">
        <f>IFERROR(VLOOKUP(Table157[[#This Row],[Period]],$L$16:$M$385,2,FALSE),0)</f>
        <v>0</v>
      </c>
      <c r="O252" s="32">
        <f>Table157[[#This Row],[Beginning Balance]]-Table157[[#This Row],[Principal]]-Table157[[#This Row],[Prepayments]]-Table157[[#This Row],[Defaulted Principal]]</f>
        <v>0</v>
      </c>
      <c r="P252" s="32">
        <f>Table157[[#This Row],[Principal]]+Table157[[#This Row],[Interest]]+Table157[[#This Row],[Prepayments]]+Table157[[#This Row],[RecoveredAmount]]</f>
        <v>0</v>
      </c>
      <c r="Q252" s="32">
        <f ca="1">ROUND(Table157[[#This Row],[Cash Flow]]/((1+ActualRateToUse)^(IF(ISNUMBER(SEARCH("Actual",$C$7)),Table157[[#This Row],[Running Total]]/365,Table157[[#This Row],[Period]]/12))),2)</f>
        <v>0</v>
      </c>
      <c r="R252" s="4">
        <f>IF(MONTH(Table157[[#This Row],[Date]])=2,28,DAY(DATE(YEAR(Table157[[#This Row],[Date]]),MONTH(Table157[[#This Row],[Date]])+1,1)-1))</f>
        <v>28</v>
      </c>
      <c r="S252" s="4">
        <f ca="1">SUM(OFFSET(Table157[[#Headers],[Days in month]],1,0):Table157[[#This Row],[Days in month]])</f>
        <v>7178</v>
      </c>
      <c r="T252" s="30">
        <f>InterestRate*AmortizationMultiplier*IF(ISNUMBER(SEARCH("Actual",$C$7)),Table157[[#This Row],[Days in month]]/365,1/12)</f>
        <v>2.6833333333333336E-3</v>
      </c>
    </row>
    <row r="253" spans="2:20" x14ac:dyDescent="0.2">
      <c r="B253" s="41">
        <f t="shared" si="10"/>
        <v>53052</v>
      </c>
      <c r="C253" s="4">
        <f t="shared" si="12"/>
        <v>237</v>
      </c>
      <c r="D253" s="32">
        <f t="shared" si="11"/>
        <v>0</v>
      </c>
      <c r="E253" s="32">
        <f>ROUND(Table157[[#This Row],[Beginning Balance]]*Table157[[#This Row],[Monthly Interest Rate]],2)</f>
        <v>0</v>
      </c>
      <c r="F253" s="32">
        <f t="shared" si="13"/>
        <v>19</v>
      </c>
      <c r="G253" s="45">
        <f>IFERROR(IF($C$13="No","N/A",IF(Table157[[#This Row],[Period]]=1,$C$6,PMT(InterestRate*AmortizationMultiplier/12,Table157[[#This Row],[Am Thru]],-Table157[[#This Row],[Beginning Balance]]))),0)</f>
        <v>0</v>
      </c>
      <c r="H253" s="32">
        <f>MAX(0,IF(C253=$C$4,D253,ROUND(IF($C$3="Fixed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3" s="32">
        <f>ROUND(Table157[[#This Row],[Defaulted Principal]]*IF($C$9="No",$E$4,VLOOKUP(Table157[[#This Row],[Period]],[1]Forecast!$H$2:$L$1048576,3,FALSE)),2)</f>
        <v>0</v>
      </c>
      <c r="L253" s="4">
        <f>Table157[[#This Row],[Period]]+$E$9</f>
        <v>249</v>
      </c>
      <c r="M253" s="32">
        <f>Table157[[#This Row],[Defaulted Principal]]-Table157[[#This Row],[Estimated Loss]]</f>
        <v>0</v>
      </c>
      <c r="N253" s="32">
        <f>IFERROR(VLOOKUP(Table157[[#This Row],[Period]],$L$16:$M$385,2,FALSE),0)</f>
        <v>0</v>
      </c>
      <c r="O253" s="32">
        <f>Table157[[#This Row],[Beginning Balance]]-Table157[[#This Row],[Principal]]-Table157[[#This Row],[Prepayments]]-Table157[[#This Row],[Defaulted Principal]]</f>
        <v>0</v>
      </c>
      <c r="P253" s="32">
        <f>Table157[[#This Row],[Principal]]+Table157[[#This Row],[Interest]]+Table157[[#This Row],[Prepayments]]+Table157[[#This Row],[RecoveredAmount]]</f>
        <v>0</v>
      </c>
      <c r="Q253" s="32">
        <f ca="1">ROUND(Table157[[#This Row],[Cash Flow]]/((1+ActualRateToUse)^(IF(ISNUMBER(SEARCH("Actual",$C$7)),Table157[[#This Row],[Running Total]]/365,Table157[[#This Row],[Period]]/12))),2)</f>
        <v>0</v>
      </c>
      <c r="R253" s="4">
        <f>IF(MONTH(Table157[[#This Row],[Date]])=2,28,DAY(DATE(YEAR(Table157[[#This Row],[Date]]),MONTH(Table157[[#This Row],[Date]])+1,1)-1))</f>
        <v>31</v>
      </c>
      <c r="S253" s="4">
        <f ca="1">SUM(OFFSET(Table157[[#Headers],[Days in month]],1,0):Table157[[#This Row],[Days in month]])</f>
        <v>7209</v>
      </c>
      <c r="T253" s="30">
        <f>InterestRate*AmortizationMultiplier*IF(ISNUMBER(SEARCH("Actual",$C$7)),Table157[[#This Row],[Days in month]]/365,1/12)</f>
        <v>2.9708333333333331E-3</v>
      </c>
    </row>
    <row r="254" spans="2:20" x14ac:dyDescent="0.2">
      <c r="B254" s="41">
        <f t="shared" si="10"/>
        <v>53082</v>
      </c>
      <c r="C254" s="4">
        <f t="shared" si="12"/>
        <v>238</v>
      </c>
      <c r="D254" s="32">
        <f t="shared" si="11"/>
        <v>0</v>
      </c>
      <c r="E254" s="32">
        <f>ROUND(Table157[[#This Row],[Beginning Balance]]*Table157[[#This Row],[Monthly Interest Rate]],2)</f>
        <v>0</v>
      </c>
      <c r="F254" s="32">
        <f t="shared" si="13"/>
        <v>18</v>
      </c>
      <c r="G254" s="45">
        <f>IFERROR(IF($C$13="No","N/A",IF(Table157[[#This Row],[Period]]=1,$C$6,PMT(InterestRate*AmortizationMultiplier/12,Table157[[#This Row],[Am Thru]],-Table157[[#This Row],[Beginning Balance]]))),0)</f>
        <v>0</v>
      </c>
      <c r="H254" s="32">
        <f>MAX(0,IF(C254=$C$4,D254,ROUND(IF($C$3="Fixed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4" s="32">
        <f>ROUND(Table157[[#This Row],[Defaulted Principal]]*IF($C$9="No",$E$4,VLOOKUP(Table157[[#This Row],[Period]],[1]Forecast!$H$2:$L$1048576,3,FALSE)),2)</f>
        <v>0</v>
      </c>
      <c r="L254" s="4">
        <f>Table157[[#This Row],[Period]]+$E$9</f>
        <v>250</v>
      </c>
      <c r="M254" s="32">
        <f>Table157[[#This Row],[Defaulted Principal]]-Table157[[#This Row],[Estimated Loss]]</f>
        <v>0</v>
      </c>
      <c r="N254" s="32">
        <f>IFERROR(VLOOKUP(Table157[[#This Row],[Period]],$L$16:$M$385,2,FALSE),0)</f>
        <v>0</v>
      </c>
      <c r="O254" s="32">
        <f>Table157[[#This Row],[Beginning Balance]]-Table157[[#This Row],[Principal]]-Table157[[#This Row],[Prepayments]]-Table157[[#This Row],[Defaulted Principal]]</f>
        <v>0</v>
      </c>
      <c r="P254" s="32">
        <f>Table157[[#This Row],[Principal]]+Table157[[#This Row],[Interest]]+Table157[[#This Row],[Prepayments]]+Table157[[#This Row],[RecoveredAmount]]</f>
        <v>0</v>
      </c>
      <c r="Q254" s="32">
        <f ca="1">ROUND(Table157[[#This Row],[Cash Flow]]/((1+ActualRateToUse)^(IF(ISNUMBER(SEARCH("Actual",$C$7)),Table157[[#This Row],[Running Total]]/365,Table157[[#This Row],[Period]]/12))),2)</f>
        <v>0</v>
      </c>
      <c r="R254" s="4">
        <f>IF(MONTH(Table157[[#This Row],[Date]])=2,28,DAY(DATE(YEAR(Table157[[#This Row],[Date]]),MONTH(Table157[[#This Row],[Date]])+1,1)-1))</f>
        <v>30</v>
      </c>
      <c r="S254" s="4">
        <f ca="1">SUM(OFFSET(Table157[[#Headers],[Days in month]],1,0):Table157[[#This Row],[Days in month]])</f>
        <v>7239</v>
      </c>
      <c r="T254" s="30">
        <f>InterestRate*AmortizationMultiplier*IF(ISNUMBER(SEARCH("Actual",$C$7)),Table157[[#This Row],[Days in month]]/365,1/12)</f>
        <v>2.8749999999999995E-3</v>
      </c>
    </row>
    <row r="255" spans="2:20" x14ac:dyDescent="0.2">
      <c r="B255" s="41">
        <f t="shared" si="10"/>
        <v>53113</v>
      </c>
      <c r="C255" s="4">
        <f t="shared" si="12"/>
        <v>239</v>
      </c>
      <c r="D255" s="32">
        <f t="shared" si="11"/>
        <v>0</v>
      </c>
      <c r="E255" s="32">
        <f>ROUND(Table157[[#This Row],[Beginning Balance]]*Table157[[#This Row],[Monthly Interest Rate]],2)</f>
        <v>0</v>
      </c>
      <c r="F255" s="32">
        <f t="shared" si="13"/>
        <v>17</v>
      </c>
      <c r="G255" s="45">
        <f>IFERROR(IF($C$13="No","N/A",IF(Table157[[#This Row],[Period]]=1,$C$6,PMT(InterestRate*AmortizationMultiplier/12,Table157[[#This Row],[Am Thru]],-Table157[[#This Row],[Beginning Balance]]))),0)</f>
        <v>0</v>
      </c>
      <c r="H255" s="32">
        <f>MAX(0,IF(C255=$C$4,D255,ROUND(IF($C$3="Fixed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5" s="32">
        <f>ROUND(Table157[[#This Row],[Defaulted Principal]]*IF($C$9="No",$E$4,VLOOKUP(Table157[[#This Row],[Period]],[1]Forecast!$H$2:$L$1048576,3,FALSE)),2)</f>
        <v>0</v>
      </c>
      <c r="L255" s="4">
        <f>Table157[[#This Row],[Period]]+$E$9</f>
        <v>251</v>
      </c>
      <c r="M255" s="32">
        <f>Table157[[#This Row],[Defaulted Principal]]-Table157[[#This Row],[Estimated Loss]]</f>
        <v>0</v>
      </c>
      <c r="N255" s="32">
        <f>IFERROR(VLOOKUP(Table157[[#This Row],[Period]],$L$16:$M$385,2,FALSE),0)</f>
        <v>0</v>
      </c>
      <c r="O255" s="32">
        <f>Table157[[#This Row],[Beginning Balance]]-Table157[[#This Row],[Principal]]-Table157[[#This Row],[Prepayments]]-Table157[[#This Row],[Defaulted Principal]]</f>
        <v>0</v>
      </c>
      <c r="P255" s="32">
        <f>Table157[[#This Row],[Principal]]+Table157[[#This Row],[Interest]]+Table157[[#This Row],[Prepayments]]+Table157[[#This Row],[RecoveredAmount]]</f>
        <v>0</v>
      </c>
      <c r="Q255" s="32">
        <f ca="1">ROUND(Table157[[#This Row],[Cash Flow]]/((1+ActualRateToUse)^(IF(ISNUMBER(SEARCH("Actual",$C$7)),Table157[[#This Row],[Running Total]]/365,Table157[[#This Row],[Period]]/12))),2)</f>
        <v>0</v>
      </c>
      <c r="R255" s="4">
        <f>IF(MONTH(Table157[[#This Row],[Date]])=2,28,DAY(DATE(YEAR(Table157[[#This Row],[Date]]),MONTH(Table157[[#This Row],[Date]])+1,1)-1))</f>
        <v>31</v>
      </c>
      <c r="S255" s="4">
        <f ca="1">SUM(OFFSET(Table157[[#Headers],[Days in month]],1,0):Table157[[#This Row],[Days in month]])</f>
        <v>7270</v>
      </c>
      <c r="T255" s="30">
        <f>InterestRate*AmortizationMultiplier*IF(ISNUMBER(SEARCH("Actual",$C$7)),Table157[[#This Row],[Days in month]]/365,1/12)</f>
        <v>2.9708333333333331E-3</v>
      </c>
    </row>
    <row r="256" spans="2:20" x14ac:dyDescent="0.2">
      <c r="B256" s="41">
        <f t="shared" si="10"/>
        <v>53143</v>
      </c>
      <c r="C256" s="4">
        <f t="shared" si="12"/>
        <v>240</v>
      </c>
      <c r="D256" s="32">
        <f t="shared" si="11"/>
        <v>0</v>
      </c>
      <c r="E256" s="32">
        <f>ROUND(Table157[[#This Row],[Beginning Balance]]*Table157[[#This Row],[Monthly Interest Rate]],2)</f>
        <v>0</v>
      </c>
      <c r="F256" s="32">
        <f t="shared" si="13"/>
        <v>16</v>
      </c>
      <c r="G256" s="45">
        <f>IFERROR(IF($C$13="No","N/A",IF(Table157[[#This Row],[Period]]=1,$C$6,PMT(InterestRate*AmortizationMultiplier/12,Table157[[#This Row],[Am Thru]],-Table157[[#This Row],[Beginning Balance]]))),0)</f>
        <v>0</v>
      </c>
      <c r="H256" s="32">
        <f>MAX(0,IF(C256=$C$4,D256,ROUND(IF($C$3="Fixed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6" s="32">
        <f>ROUND(Table157[[#This Row],[Defaulted Principal]]*IF($C$9="No",$E$4,VLOOKUP(Table157[[#This Row],[Period]],[1]Forecast!$H$2:$L$1048576,3,FALSE)),2)</f>
        <v>0</v>
      </c>
      <c r="L256" s="4">
        <f>Table157[[#This Row],[Period]]+$E$9</f>
        <v>252</v>
      </c>
      <c r="M256" s="32">
        <f>Table157[[#This Row],[Defaulted Principal]]-Table157[[#This Row],[Estimated Loss]]</f>
        <v>0</v>
      </c>
      <c r="N256" s="32">
        <f>IFERROR(VLOOKUP(Table157[[#This Row],[Period]],$L$16:$M$385,2,FALSE),0)</f>
        <v>0</v>
      </c>
      <c r="O256" s="32">
        <f>Table157[[#This Row],[Beginning Balance]]-Table157[[#This Row],[Principal]]-Table157[[#This Row],[Prepayments]]-Table157[[#This Row],[Defaulted Principal]]</f>
        <v>0</v>
      </c>
      <c r="P256" s="32">
        <f>Table157[[#This Row],[Principal]]+Table157[[#This Row],[Interest]]+Table157[[#This Row],[Prepayments]]+Table157[[#This Row],[RecoveredAmount]]</f>
        <v>0</v>
      </c>
      <c r="Q256" s="32">
        <f ca="1">ROUND(Table157[[#This Row],[Cash Flow]]/((1+ActualRateToUse)^(IF(ISNUMBER(SEARCH("Actual",$C$7)),Table157[[#This Row],[Running Total]]/365,Table157[[#This Row],[Period]]/12))),2)</f>
        <v>0</v>
      </c>
      <c r="R256" s="4">
        <f>IF(MONTH(Table157[[#This Row],[Date]])=2,28,DAY(DATE(YEAR(Table157[[#This Row],[Date]]),MONTH(Table157[[#This Row],[Date]])+1,1)-1))</f>
        <v>30</v>
      </c>
      <c r="S256" s="4">
        <f ca="1">SUM(OFFSET(Table157[[#Headers],[Days in month]],1,0):Table157[[#This Row],[Days in month]])</f>
        <v>7300</v>
      </c>
      <c r="T256" s="30">
        <f>InterestRate*AmortizationMultiplier*IF(ISNUMBER(SEARCH("Actual",$C$7)),Table157[[#This Row],[Days in month]]/365,1/12)</f>
        <v>2.8749999999999995E-3</v>
      </c>
    </row>
    <row r="257" spans="2:20" x14ac:dyDescent="0.2">
      <c r="B257" s="41">
        <f t="shared" si="10"/>
        <v>53174</v>
      </c>
      <c r="C257" s="4">
        <f t="shared" si="12"/>
        <v>241</v>
      </c>
      <c r="D257" s="32">
        <f t="shared" si="11"/>
        <v>0</v>
      </c>
      <c r="E257" s="32">
        <f>ROUND(Table157[[#This Row],[Beginning Balance]]*Table157[[#This Row],[Monthly Interest Rate]],2)</f>
        <v>0</v>
      </c>
      <c r="F257" s="32">
        <f t="shared" si="13"/>
        <v>15</v>
      </c>
      <c r="G257" s="45">
        <f>IFERROR(IF($C$13="No","N/A",IF(Table157[[#This Row],[Period]]=1,$C$6,PMT(InterestRate*AmortizationMultiplier/12,Table157[[#This Row],[Am Thru]],-Table157[[#This Row],[Beginning Balance]]))),0)</f>
        <v>0</v>
      </c>
      <c r="H257" s="32">
        <f>MAX(0,IF(C257=$C$4,D257,ROUND(IF($C$3="Fixed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7" s="32">
        <f>ROUND(Table157[[#This Row],[Defaulted Principal]]*IF($C$9="No",$E$4,VLOOKUP(Table157[[#This Row],[Period]],[1]Forecast!$H$2:$L$1048576,3,FALSE)),2)</f>
        <v>0</v>
      </c>
      <c r="L257" s="4">
        <f>Table157[[#This Row],[Period]]+$E$9</f>
        <v>253</v>
      </c>
      <c r="M257" s="32">
        <f>Table157[[#This Row],[Defaulted Principal]]-Table157[[#This Row],[Estimated Loss]]</f>
        <v>0</v>
      </c>
      <c r="N257" s="32">
        <f>IFERROR(VLOOKUP(Table157[[#This Row],[Period]],$L$16:$M$385,2,FALSE),0)</f>
        <v>0</v>
      </c>
      <c r="O257" s="32">
        <f>Table157[[#This Row],[Beginning Balance]]-Table157[[#This Row],[Principal]]-Table157[[#This Row],[Prepayments]]-Table157[[#This Row],[Defaulted Principal]]</f>
        <v>0</v>
      </c>
      <c r="P257" s="32">
        <f>Table157[[#This Row],[Principal]]+Table157[[#This Row],[Interest]]+Table157[[#This Row],[Prepayments]]+Table157[[#This Row],[RecoveredAmount]]</f>
        <v>0</v>
      </c>
      <c r="Q257" s="32">
        <f ca="1">ROUND(Table157[[#This Row],[Cash Flow]]/((1+ActualRateToUse)^(IF(ISNUMBER(SEARCH("Actual",$C$7)),Table157[[#This Row],[Running Total]]/365,Table157[[#This Row],[Period]]/12))),2)</f>
        <v>0</v>
      </c>
      <c r="R257" s="4">
        <f>IF(MONTH(Table157[[#This Row],[Date]])=2,28,DAY(DATE(YEAR(Table157[[#This Row],[Date]]),MONTH(Table157[[#This Row],[Date]])+1,1)-1))</f>
        <v>31</v>
      </c>
      <c r="S257" s="4">
        <f ca="1">SUM(OFFSET(Table157[[#Headers],[Days in month]],1,0):Table157[[#This Row],[Days in month]])</f>
        <v>7331</v>
      </c>
      <c r="T257" s="30">
        <f>InterestRate*AmortizationMultiplier*IF(ISNUMBER(SEARCH("Actual",$C$7)),Table157[[#This Row],[Days in month]]/365,1/12)</f>
        <v>2.9708333333333331E-3</v>
      </c>
    </row>
    <row r="258" spans="2:20" x14ac:dyDescent="0.2">
      <c r="B258" s="41">
        <f t="shared" si="10"/>
        <v>53205</v>
      </c>
      <c r="C258" s="4">
        <f t="shared" si="12"/>
        <v>242</v>
      </c>
      <c r="D258" s="32">
        <f t="shared" si="11"/>
        <v>0</v>
      </c>
      <c r="E258" s="32">
        <f>ROUND(Table157[[#This Row],[Beginning Balance]]*Table157[[#This Row],[Monthly Interest Rate]],2)</f>
        <v>0</v>
      </c>
      <c r="F258" s="32">
        <f t="shared" si="13"/>
        <v>14</v>
      </c>
      <c r="G258" s="45">
        <f>IFERROR(IF($C$13="No","N/A",IF(Table157[[#This Row],[Period]]=1,$C$6,PMT(InterestRate*AmortizationMultiplier/12,Table157[[#This Row],[Am Thru]],-Table157[[#This Row],[Beginning Balance]]))),0)</f>
        <v>0</v>
      </c>
      <c r="H258" s="32">
        <f>MAX(0,IF(C258=$C$4,D258,ROUND(IF($C$3="Fixed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8" s="32">
        <f>ROUND(Table157[[#This Row],[Defaulted Principal]]*IF($C$9="No",$E$4,VLOOKUP(Table157[[#This Row],[Period]],[1]Forecast!$H$2:$L$1048576,3,FALSE)),2)</f>
        <v>0</v>
      </c>
      <c r="L258" s="4">
        <f>Table157[[#This Row],[Period]]+$E$9</f>
        <v>254</v>
      </c>
      <c r="M258" s="32">
        <f>Table157[[#This Row],[Defaulted Principal]]-Table157[[#This Row],[Estimated Loss]]</f>
        <v>0</v>
      </c>
      <c r="N258" s="32">
        <f>IFERROR(VLOOKUP(Table157[[#This Row],[Period]],$L$16:$M$385,2,FALSE),0)</f>
        <v>0</v>
      </c>
      <c r="O258" s="32">
        <f>Table157[[#This Row],[Beginning Balance]]-Table157[[#This Row],[Principal]]-Table157[[#This Row],[Prepayments]]-Table157[[#This Row],[Defaulted Principal]]</f>
        <v>0</v>
      </c>
      <c r="P258" s="32">
        <f>Table157[[#This Row],[Principal]]+Table157[[#This Row],[Interest]]+Table157[[#This Row],[Prepayments]]+Table157[[#This Row],[RecoveredAmount]]</f>
        <v>0</v>
      </c>
      <c r="Q258" s="32">
        <f ca="1">ROUND(Table157[[#This Row],[Cash Flow]]/((1+ActualRateToUse)^(IF(ISNUMBER(SEARCH("Actual",$C$7)),Table157[[#This Row],[Running Total]]/365,Table157[[#This Row],[Period]]/12))),2)</f>
        <v>0</v>
      </c>
      <c r="R258" s="4">
        <f>IF(MONTH(Table157[[#This Row],[Date]])=2,28,DAY(DATE(YEAR(Table157[[#This Row],[Date]]),MONTH(Table157[[#This Row],[Date]])+1,1)-1))</f>
        <v>31</v>
      </c>
      <c r="S258" s="4">
        <f ca="1">SUM(OFFSET(Table157[[#Headers],[Days in month]],1,0):Table157[[#This Row],[Days in month]])</f>
        <v>7362</v>
      </c>
      <c r="T258" s="30">
        <f>InterestRate*AmortizationMultiplier*IF(ISNUMBER(SEARCH("Actual",$C$7)),Table157[[#This Row],[Days in month]]/365,1/12)</f>
        <v>2.9708333333333331E-3</v>
      </c>
    </row>
    <row r="259" spans="2:20" x14ac:dyDescent="0.2">
      <c r="B259" s="41">
        <f t="shared" si="10"/>
        <v>53235</v>
      </c>
      <c r="C259" s="4">
        <f t="shared" si="12"/>
        <v>243</v>
      </c>
      <c r="D259" s="32">
        <f t="shared" si="11"/>
        <v>0</v>
      </c>
      <c r="E259" s="32">
        <f>ROUND(Table157[[#This Row],[Beginning Balance]]*Table157[[#This Row],[Monthly Interest Rate]],2)</f>
        <v>0</v>
      </c>
      <c r="F259" s="32">
        <f t="shared" si="13"/>
        <v>13</v>
      </c>
      <c r="G259" s="45">
        <f>IFERROR(IF($C$13="No","N/A",IF(Table157[[#This Row],[Period]]=1,$C$6,PMT(InterestRate*AmortizationMultiplier/12,Table157[[#This Row],[Am Thru]],-Table157[[#This Row],[Beginning Balance]]))),0)</f>
        <v>0</v>
      </c>
      <c r="H259" s="32">
        <f>MAX(0,IF(C259=$C$4,D259,ROUND(IF($C$3="Fixed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5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5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59" s="32">
        <f>ROUND(Table157[[#This Row],[Defaulted Principal]]*IF($C$9="No",$E$4,VLOOKUP(Table157[[#This Row],[Period]],[1]Forecast!$H$2:$L$1048576,3,FALSE)),2)</f>
        <v>0</v>
      </c>
      <c r="L259" s="4">
        <f>Table157[[#This Row],[Period]]+$E$9</f>
        <v>255</v>
      </c>
      <c r="M259" s="32">
        <f>Table157[[#This Row],[Defaulted Principal]]-Table157[[#This Row],[Estimated Loss]]</f>
        <v>0</v>
      </c>
      <c r="N259" s="32">
        <f>IFERROR(VLOOKUP(Table157[[#This Row],[Period]],$L$16:$M$385,2,FALSE),0)</f>
        <v>0</v>
      </c>
      <c r="O259" s="32">
        <f>Table157[[#This Row],[Beginning Balance]]-Table157[[#This Row],[Principal]]-Table157[[#This Row],[Prepayments]]-Table157[[#This Row],[Defaulted Principal]]</f>
        <v>0</v>
      </c>
      <c r="P259" s="32">
        <f>Table157[[#This Row],[Principal]]+Table157[[#This Row],[Interest]]+Table157[[#This Row],[Prepayments]]+Table157[[#This Row],[RecoveredAmount]]</f>
        <v>0</v>
      </c>
      <c r="Q259" s="32">
        <f ca="1">ROUND(Table157[[#This Row],[Cash Flow]]/((1+ActualRateToUse)^(IF(ISNUMBER(SEARCH("Actual",$C$7)),Table157[[#This Row],[Running Total]]/365,Table157[[#This Row],[Period]]/12))),2)</f>
        <v>0</v>
      </c>
      <c r="R259" s="4">
        <f>IF(MONTH(Table157[[#This Row],[Date]])=2,28,DAY(DATE(YEAR(Table157[[#This Row],[Date]]),MONTH(Table157[[#This Row],[Date]])+1,1)-1))</f>
        <v>30</v>
      </c>
      <c r="S259" s="4">
        <f ca="1">SUM(OFFSET(Table157[[#Headers],[Days in month]],1,0):Table157[[#This Row],[Days in month]])</f>
        <v>7392</v>
      </c>
      <c r="T259" s="30">
        <f>InterestRate*AmortizationMultiplier*IF(ISNUMBER(SEARCH("Actual",$C$7)),Table157[[#This Row],[Days in month]]/365,1/12)</f>
        <v>2.8749999999999995E-3</v>
      </c>
    </row>
    <row r="260" spans="2:20" x14ac:dyDescent="0.2">
      <c r="B260" s="41">
        <f t="shared" si="10"/>
        <v>53266</v>
      </c>
      <c r="C260" s="4">
        <f t="shared" si="12"/>
        <v>244</v>
      </c>
      <c r="D260" s="32">
        <f t="shared" si="11"/>
        <v>0</v>
      </c>
      <c r="E260" s="32">
        <f>ROUND(Table157[[#This Row],[Beginning Balance]]*Table157[[#This Row],[Monthly Interest Rate]],2)</f>
        <v>0</v>
      </c>
      <c r="F260" s="32">
        <f t="shared" si="13"/>
        <v>12</v>
      </c>
      <c r="G260" s="45">
        <f>IFERROR(IF($C$13="No","N/A",IF(Table157[[#This Row],[Period]]=1,$C$6,PMT(InterestRate*AmortizationMultiplier/12,Table157[[#This Row],[Am Thru]],-Table157[[#This Row],[Beginning Balance]]))),0)</f>
        <v>0</v>
      </c>
      <c r="H260" s="32">
        <f>MAX(0,IF(C260=$C$4,D260,ROUND(IF($C$3="Fixed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0" s="32">
        <f>ROUND(Table157[[#This Row],[Defaulted Principal]]*IF($C$9="No",$E$4,VLOOKUP(Table157[[#This Row],[Period]],[1]Forecast!$H$2:$L$1048576,3,FALSE)),2)</f>
        <v>0</v>
      </c>
      <c r="L260" s="4">
        <f>Table157[[#This Row],[Period]]+$E$9</f>
        <v>256</v>
      </c>
      <c r="M260" s="32">
        <f>Table157[[#This Row],[Defaulted Principal]]-Table157[[#This Row],[Estimated Loss]]</f>
        <v>0</v>
      </c>
      <c r="N260" s="32">
        <f>IFERROR(VLOOKUP(Table157[[#This Row],[Period]],$L$16:$M$385,2,FALSE),0)</f>
        <v>0</v>
      </c>
      <c r="O260" s="32">
        <f>Table157[[#This Row],[Beginning Balance]]-Table157[[#This Row],[Principal]]-Table157[[#This Row],[Prepayments]]-Table157[[#This Row],[Defaulted Principal]]</f>
        <v>0</v>
      </c>
      <c r="P260" s="32">
        <f>Table157[[#This Row],[Principal]]+Table157[[#This Row],[Interest]]+Table157[[#This Row],[Prepayments]]+Table157[[#This Row],[RecoveredAmount]]</f>
        <v>0</v>
      </c>
      <c r="Q260" s="32">
        <f ca="1">ROUND(Table157[[#This Row],[Cash Flow]]/((1+ActualRateToUse)^(IF(ISNUMBER(SEARCH("Actual",$C$7)),Table157[[#This Row],[Running Total]]/365,Table157[[#This Row],[Period]]/12))),2)</f>
        <v>0</v>
      </c>
      <c r="R260" s="4">
        <f>IF(MONTH(Table157[[#This Row],[Date]])=2,28,DAY(DATE(YEAR(Table157[[#This Row],[Date]]),MONTH(Table157[[#This Row],[Date]])+1,1)-1))</f>
        <v>31</v>
      </c>
      <c r="S260" s="4">
        <f ca="1">SUM(OFFSET(Table157[[#Headers],[Days in month]],1,0):Table157[[#This Row],[Days in month]])</f>
        <v>7423</v>
      </c>
      <c r="T260" s="30">
        <f>InterestRate*AmortizationMultiplier*IF(ISNUMBER(SEARCH("Actual",$C$7)),Table157[[#This Row],[Days in month]]/365,1/12)</f>
        <v>2.9708333333333331E-3</v>
      </c>
    </row>
    <row r="261" spans="2:20" x14ac:dyDescent="0.2">
      <c r="B261" s="41">
        <f t="shared" si="10"/>
        <v>53296</v>
      </c>
      <c r="C261" s="4">
        <f t="shared" si="12"/>
        <v>245</v>
      </c>
      <c r="D261" s="32">
        <f t="shared" si="11"/>
        <v>0</v>
      </c>
      <c r="E261" s="32">
        <f>ROUND(Table157[[#This Row],[Beginning Balance]]*Table157[[#This Row],[Monthly Interest Rate]],2)</f>
        <v>0</v>
      </c>
      <c r="F261" s="32">
        <f t="shared" si="13"/>
        <v>11</v>
      </c>
      <c r="G261" s="45">
        <f>IFERROR(IF($C$13="No","N/A",IF(Table157[[#This Row],[Period]]=1,$C$6,PMT(InterestRate*AmortizationMultiplier/12,Table157[[#This Row],[Am Thru]],-Table157[[#This Row],[Beginning Balance]]))),0)</f>
        <v>0</v>
      </c>
      <c r="H261" s="32">
        <f>MAX(0,IF(C261=$C$4,D261,ROUND(IF($C$3="Fixed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1" s="32">
        <f>ROUND(Table157[[#This Row],[Defaulted Principal]]*IF($C$9="No",$E$4,VLOOKUP(Table157[[#This Row],[Period]],[1]Forecast!$H$2:$L$1048576,3,FALSE)),2)</f>
        <v>0</v>
      </c>
      <c r="L261" s="4">
        <f>Table157[[#This Row],[Period]]+$E$9</f>
        <v>257</v>
      </c>
      <c r="M261" s="32">
        <f>Table157[[#This Row],[Defaulted Principal]]-Table157[[#This Row],[Estimated Loss]]</f>
        <v>0</v>
      </c>
      <c r="N261" s="32">
        <f>IFERROR(VLOOKUP(Table157[[#This Row],[Period]],$L$16:$M$385,2,FALSE),0)</f>
        <v>0</v>
      </c>
      <c r="O261" s="32">
        <f>Table157[[#This Row],[Beginning Balance]]-Table157[[#This Row],[Principal]]-Table157[[#This Row],[Prepayments]]-Table157[[#This Row],[Defaulted Principal]]</f>
        <v>0</v>
      </c>
      <c r="P261" s="32">
        <f>Table157[[#This Row],[Principal]]+Table157[[#This Row],[Interest]]+Table157[[#This Row],[Prepayments]]+Table157[[#This Row],[RecoveredAmount]]</f>
        <v>0</v>
      </c>
      <c r="Q261" s="32">
        <f ca="1">ROUND(Table157[[#This Row],[Cash Flow]]/((1+ActualRateToUse)^(IF(ISNUMBER(SEARCH("Actual",$C$7)),Table157[[#This Row],[Running Total]]/365,Table157[[#This Row],[Period]]/12))),2)</f>
        <v>0</v>
      </c>
      <c r="R261" s="4">
        <f>IF(MONTH(Table157[[#This Row],[Date]])=2,28,DAY(DATE(YEAR(Table157[[#This Row],[Date]]),MONTH(Table157[[#This Row],[Date]])+1,1)-1))</f>
        <v>30</v>
      </c>
      <c r="S261" s="4">
        <f ca="1">SUM(OFFSET(Table157[[#Headers],[Days in month]],1,0):Table157[[#This Row],[Days in month]])</f>
        <v>7453</v>
      </c>
      <c r="T261" s="30">
        <f>InterestRate*AmortizationMultiplier*IF(ISNUMBER(SEARCH("Actual",$C$7)),Table157[[#This Row],[Days in month]]/365,1/12)</f>
        <v>2.8749999999999995E-3</v>
      </c>
    </row>
    <row r="262" spans="2:20" x14ac:dyDescent="0.2">
      <c r="B262" s="41">
        <f t="shared" si="10"/>
        <v>53327</v>
      </c>
      <c r="C262" s="4">
        <f t="shared" si="12"/>
        <v>246</v>
      </c>
      <c r="D262" s="32">
        <f t="shared" si="11"/>
        <v>0</v>
      </c>
      <c r="E262" s="32">
        <f>ROUND(Table157[[#This Row],[Beginning Balance]]*Table157[[#This Row],[Monthly Interest Rate]],2)</f>
        <v>0</v>
      </c>
      <c r="F262" s="32">
        <f t="shared" si="13"/>
        <v>10</v>
      </c>
      <c r="G262" s="45">
        <f>IFERROR(IF($C$13="No","N/A",IF(Table157[[#This Row],[Period]]=1,$C$6,PMT(InterestRate*AmortizationMultiplier/12,Table157[[#This Row],[Am Thru]],-Table157[[#This Row],[Beginning Balance]]))),0)</f>
        <v>0</v>
      </c>
      <c r="H262" s="32">
        <f>MAX(0,IF(C262=$C$4,D262,ROUND(IF($C$3="Fixed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2" s="32">
        <f>ROUND(Table157[[#This Row],[Defaulted Principal]]*IF($C$9="No",$E$4,VLOOKUP(Table157[[#This Row],[Period]],[1]Forecast!$H$2:$L$1048576,3,FALSE)),2)</f>
        <v>0</v>
      </c>
      <c r="L262" s="4">
        <f>Table157[[#This Row],[Period]]+$E$9</f>
        <v>258</v>
      </c>
      <c r="M262" s="32">
        <f>Table157[[#This Row],[Defaulted Principal]]-Table157[[#This Row],[Estimated Loss]]</f>
        <v>0</v>
      </c>
      <c r="N262" s="32">
        <f>IFERROR(VLOOKUP(Table157[[#This Row],[Period]],$L$16:$M$385,2,FALSE),0)</f>
        <v>0</v>
      </c>
      <c r="O262" s="32">
        <f>Table157[[#This Row],[Beginning Balance]]-Table157[[#This Row],[Principal]]-Table157[[#This Row],[Prepayments]]-Table157[[#This Row],[Defaulted Principal]]</f>
        <v>0</v>
      </c>
      <c r="P262" s="32">
        <f>Table157[[#This Row],[Principal]]+Table157[[#This Row],[Interest]]+Table157[[#This Row],[Prepayments]]+Table157[[#This Row],[RecoveredAmount]]</f>
        <v>0</v>
      </c>
      <c r="Q262" s="32">
        <f ca="1">ROUND(Table157[[#This Row],[Cash Flow]]/((1+ActualRateToUse)^(IF(ISNUMBER(SEARCH("Actual",$C$7)),Table157[[#This Row],[Running Total]]/365,Table157[[#This Row],[Period]]/12))),2)</f>
        <v>0</v>
      </c>
      <c r="R262" s="4">
        <f>IF(MONTH(Table157[[#This Row],[Date]])=2,28,DAY(DATE(YEAR(Table157[[#This Row],[Date]]),MONTH(Table157[[#This Row],[Date]])+1,1)-1))</f>
        <v>31</v>
      </c>
      <c r="S262" s="4">
        <f ca="1">SUM(OFFSET(Table157[[#Headers],[Days in month]],1,0):Table157[[#This Row],[Days in month]])</f>
        <v>7484</v>
      </c>
      <c r="T262" s="30">
        <f>InterestRate*AmortizationMultiplier*IF(ISNUMBER(SEARCH("Actual",$C$7)),Table157[[#This Row],[Days in month]]/365,1/12)</f>
        <v>2.9708333333333331E-3</v>
      </c>
    </row>
    <row r="263" spans="2:20" x14ac:dyDescent="0.2">
      <c r="B263" s="41">
        <f t="shared" si="10"/>
        <v>53358</v>
      </c>
      <c r="C263" s="4">
        <f t="shared" si="12"/>
        <v>247</v>
      </c>
      <c r="D263" s="32">
        <f t="shared" si="11"/>
        <v>0</v>
      </c>
      <c r="E263" s="32">
        <f>ROUND(Table157[[#This Row],[Beginning Balance]]*Table157[[#This Row],[Monthly Interest Rate]],2)</f>
        <v>0</v>
      </c>
      <c r="F263" s="32">
        <f t="shared" si="13"/>
        <v>9</v>
      </c>
      <c r="G263" s="45">
        <f>IFERROR(IF($C$13="No","N/A",IF(Table157[[#This Row],[Period]]=1,$C$6,PMT(InterestRate*AmortizationMultiplier/12,Table157[[#This Row],[Am Thru]],-Table157[[#This Row],[Beginning Balance]]))),0)</f>
        <v>0</v>
      </c>
      <c r="H263" s="32">
        <f>MAX(0,IF(C263=$C$4,D263,ROUND(IF($C$3="Fixed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3" s="32">
        <f>ROUND(Table157[[#This Row],[Defaulted Principal]]*IF($C$9="No",$E$4,VLOOKUP(Table157[[#This Row],[Period]],[1]Forecast!$H$2:$L$1048576,3,FALSE)),2)</f>
        <v>0</v>
      </c>
      <c r="L263" s="4">
        <f>Table157[[#This Row],[Period]]+$E$9</f>
        <v>259</v>
      </c>
      <c r="M263" s="32">
        <f>Table157[[#This Row],[Defaulted Principal]]-Table157[[#This Row],[Estimated Loss]]</f>
        <v>0</v>
      </c>
      <c r="N263" s="32">
        <f>IFERROR(VLOOKUP(Table157[[#This Row],[Period]],$L$16:$M$385,2,FALSE),0)</f>
        <v>0</v>
      </c>
      <c r="O263" s="32">
        <f>Table157[[#This Row],[Beginning Balance]]-Table157[[#This Row],[Principal]]-Table157[[#This Row],[Prepayments]]-Table157[[#This Row],[Defaulted Principal]]</f>
        <v>0</v>
      </c>
      <c r="P263" s="32">
        <f>Table157[[#This Row],[Principal]]+Table157[[#This Row],[Interest]]+Table157[[#This Row],[Prepayments]]+Table157[[#This Row],[RecoveredAmount]]</f>
        <v>0</v>
      </c>
      <c r="Q263" s="32">
        <f ca="1">ROUND(Table157[[#This Row],[Cash Flow]]/((1+ActualRateToUse)^(IF(ISNUMBER(SEARCH("Actual",$C$7)),Table157[[#This Row],[Running Total]]/365,Table157[[#This Row],[Period]]/12))),2)</f>
        <v>0</v>
      </c>
      <c r="R263" s="4">
        <f>IF(MONTH(Table157[[#This Row],[Date]])=2,28,DAY(DATE(YEAR(Table157[[#This Row],[Date]]),MONTH(Table157[[#This Row],[Date]])+1,1)-1))</f>
        <v>31</v>
      </c>
      <c r="S263" s="4">
        <f ca="1">SUM(OFFSET(Table157[[#Headers],[Days in month]],1,0):Table157[[#This Row],[Days in month]])</f>
        <v>7515</v>
      </c>
      <c r="T263" s="30">
        <f>InterestRate*AmortizationMultiplier*IF(ISNUMBER(SEARCH("Actual",$C$7)),Table157[[#This Row],[Days in month]]/365,1/12)</f>
        <v>2.9708333333333331E-3</v>
      </c>
    </row>
    <row r="264" spans="2:20" x14ac:dyDescent="0.2">
      <c r="B264" s="41">
        <f t="shared" si="10"/>
        <v>53386</v>
      </c>
      <c r="C264" s="4">
        <f t="shared" si="12"/>
        <v>248</v>
      </c>
      <c r="D264" s="32">
        <f t="shared" si="11"/>
        <v>0</v>
      </c>
      <c r="E264" s="32">
        <f>ROUND(Table157[[#This Row],[Beginning Balance]]*Table157[[#This Row],[Monthly Interest Rate]],2)</f>
        <v>0</v>
      </c>
      <c r="F264" s="32">
        <f t="shared" si="13"/>
        <v>8</v>
      </c>
      <c r="G264" s="45">
        <f>IFERROR(IF($C$13="No","N/A",IF(Table157[[#This Row],[Period]]=1,$C$6,PMT(InterestRate*AmortizationMultiplier/12,Table157[[#This Row],[Am Thru]],-Table157[[#This Row],[Beginning Balance]]))),0)</f>
        <v>0</v>
      </c>
      <c r="H264" s="32">
        <f>MAX(0,IF(C264=$C$4,D264,ROUND(IF($C$3="Fixed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4" s="32">
        <f>ROUND(Table157[[#This Row],[Defaulted Principal]]*IF($C$9="No",$E$4,VLOOKUP(Table157[[#This Row],[Period]],[1]Forecast!$H$2:$L$1048576,3,FALSE)),2)</f>
        <v>0</v>
      </c>
      <c r="L264" s="4">
        <f>Table157[[#This Row],[Period]]+$E$9</f>
        <v>260</v>
      </c>
      <c r="M264" s="32">
        <f>Table157[[#This Row],[Defaulted Principal]]-Table157[[#This Row],[Estimated Loss]]</f>
        <v>0</v>
      </c>
      <c r="N264" s="32">
        <f>IFERROR(VLOOKUP(Table157[[#This Row],[Period]],$L$16:$M$385,2,FALSE),0)</f>
        <v>0</v>
      </c>
      <c r="O264" s="32">
        <f>Table157[[#This Row],[Beginning Balance]]-Table157[[#This Row],[Principal]]-Table157[[#This Row],[Prepayments]]-Table157[[#This Row],[Defaulted Principal]]</f>
        <v>0</v>
      </c>
      <c r="P264" s="32">
        <f>Table157[[#This Row],[Principal]]+Table157[[#This Row],[Interest]]+Table157[[#This Row],[Prepayments]]+Table157[[#This Row],[RecoveredAmount]]</f>
        <v>0</v>
      </c>
      <c r="Q264" s="32">
        <f ca="1">ROUND(Table157[[#This Row],[Cash Flow]]/((1+ActualRateToUse)^(IF(ISNUMBER(SEARCH("Actual",$C$7)),Table157[[#This Row],[Running Total]]/365,Table157[[#This Row],[Period]]/12))),2)</f>
        <v>0</v>
      </c>
      <c r="R264" s="4">
        <f>IF(MONTH(Table157[[#This Row],[Date]])=2,28,DAY(DATE(YEAR(Table157[[#This Row],[Date]]),MONTH(Table157[[#This Row],[Date]])+1,1)-1))</f>
        <v>28</v>
      </c>
      <c r="S264" s="4">
        <f ca="1">SUM(OFFSET(Table157[[#Headers],[Days in month]],1,0):Table157[[#This Row],[Days in month]])</f>
        <v>7543</v>
      </c>
      <c r="T264" s="30">
        <f>InterestRate*AmortizationMultiplier*IF(ISNUMBER(SEARCH("Actual",$C$7)),Table157[[#This Row],[Days in month]]/365,1/12)</f>
        <v>2.6833333333333336E-3</v>
      </c>
    </row>
    <row r="265" spans="2:20" x14ac:dyDescent="0.2">
      <c r="B265" s="41">
        <f t="shared" si="10"/>
        <v>53417</v>
      </c>
      <c r="C265" s="4">
        <f t="shared" si="12"/>
        <v>249</v>
      </c>
      <c r="D265" s="32">
        <f t="shared" si="11"/>
        <v>0</v>
      </c>
      <c r="E265" s="32">
        <f>ROUND(Table157[[#This Row],[Beginning Balance]]*Table157[[#This Row],[Monthly Interest Rate]],2)</f>
        <v>0</v>
      </c>
      <c r="F265" s="32">
        <f t="shared" si="13"/>
        <v>7</v>
      </c>
      <c r="G265" s="45">
        <f>IFERROR(IF($C$13="No","N/A",IF(Table157[[#This Row],[Period]]=1,$C$6,PMT(InterestRate*AmortizationMultiplier/12,Table157[[#This Row],[Am Thru]],-Table157[[#This Row],[Beginning Balance]]))),0)</f>
        <v>0</v>
      </c>
      <c r="H265" s="32">
        <f>MAX(0,IF(C265=$C$4,D265,ROUND(IF($C$3="Fixed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5" s="32">
        <f>ROUND(Table157[[#This Row],[Defaulted Principal]]*IF($C$9="No",$E$4,VLOOKUP(Table157[[#This Row],[Period]],[1]Forecast!$H$2:$L$1048576,3,FALSE)),2)</f>
        <v>0</v>
      </c>
      <c r="L265" s="4">
        <f>Table157[[#This Row],[Period]]+$E$9</f>
        <v>261</v>
      </c>
      <c r="M265" s="32">
        <f>Table157[[#This Row],[Defaulted Principal]]-Table157[[#This Row],[Estimated Loss]]</f>
        <v>0</v>
      </c>
      <c r="N265" s="32">
        <f>IFERROR(VLOOKUP(Table157[[#This Row],[Period]],$L$16:$M$385,2,FALSE),0)</f>
        <v>0</v>
      </c>
      <c r="O265" s="32">
        <f>Table157[[#This Row],[Beginning Balance]]-Table157[[#This Row],[Principal]]-Table157[[#This Row],[Prepayments]]-Table157[[#This Row],[Defaulted Principal]]</f>
        <v>0</v>
      </c>
      <c r="P265" s="32">
        <f>Table157[[#This Row],[Principal]]+Table157[[#This Row],[Interest]]+Table157[[#This Row],[Prepayments]]+Table157[[#This Row],[RecoveredAmount]]</f>
        <v>0</v>
      </c>
      <c r="Q265" s="32">
        <f ca="1">ROUND(Table157[[#This Row],[Cash Flow]]/((1+ActualRateToUse)^(IF(ISNUMBER(SEARCH("Actual",$C$7)),Table157[[#This Row],[Running Total]]/365,Table157[[#This Row],[Period]]/12))),2)</f>
        <v>0</v>
      </c>
      <c r="R265" s="4">
        <f>IF(MONTH(Table157[[#This Row],[Date]])=2,28,DAY(DATE(YEAR(Table157[[#This Row],[Date]]),MONTH(Table157[[#This Row],[Date]])+1,1)-1))</f>
        <v>31</v>
      </c>
      <c r="S265" s="4">
        <f ca="1">SUM(OFFSET(Table157[[#Headers],[Days in month]],1,0):Table157[[#This Row],[Days in month]])</f>
        <v>7574</v>
      </c>
      <c r="T265" s="30">
        <f>InterestRate*AmortizationMultiplier*IF(ISNUMBER(SEARCH("Actual",$C$7)),Table157[[#This Row],[Days in month]]/365,1/12)</f>
        <v>2.9708333333333331E-3</v>
      </c>
    </row>
    <row r="266" spans="2:20" x14ac:dyDescent="0.2">
      <c r="B266" s="41">
        <f t="shared" si="10"/>
        <v>53447</v>
      </c>
      <c r="C266" s="4">
        <f t="shared" si="12"/>
        <v>250</v>
      </c>
      <c r="D266" s="32">
        <f t="shared" si="11"/>
        <v>0</v>
      </c>
      <c r="E266" s="32">
        <f>ROUND(Table157[[#This Row],[Beginning Balance]]*Table157[[#This Row],[Monthly Interest Rate]],2)</f>
        <v>0</v>
      </c>
      <c r="F266" s="32">
        <f t="shared" si="13"/>
        <v>6</v>
      </c>
      <c r="G266" s="45">
        <f>IFERROR(IF($C$13="No","N/A",IF(Table157[[#This Row],[Period]]=1,$C$6,PMT(InterestRate*AmortizationMultiplier/12,Table157[[#This Row],[Am Thru]],-Table157[[#This Row],[Beginning Balance]]))),0)</f>
        <v>0</v>
      </c>
      <c r="H266" s="32">
        <f>MAX(0,IF(C266=$C$4,D266,ROUND(IF($C$3="Fixed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6" s="32">
        <f>ROUND(Table157[[#This Row],[Defaulted Principal]]*IF($C$9="No",$E$4,VLOOKUP(Table157[[#This Row],[Period]],[1]Forecast!$H$2:$L$1048576,3,FALSE)),2)</f>
        <v>0</v>
      </c>
      <c r="L266" s="4">
        <f>Table157[[#This Row],[Period]]+$E$9</f>
        <v>262</v>
      </c>
      <c r="M266" s="32">
        <f>Table157[[#This Row],[Defaulted Principal]]-Table157[[#This Row],[Estimated Loss]]</f>
        <v>0</v>
      </c>
      <c r="N266" s="32">
        <f>IFERROR(VLOOKUP(Table157[[#This Row],[Period]],$L$16:$M$385,2,FALSE),0)</f>
        <v>0</v>
      </c>
      <c r="O266" s="32">
        <f>Table157[[#This Row],[Beginning Balance]]-Table157[[#This Row],[Principal]]-Table157[[#This Row],[Prepayments]]-Table157[[#This Row],[Defaulted Principal]]</f>
        <v>0</v>
      </c>
      <c r="P266" s="32">
        <f>Table157[[#This Row],[Principal]]+Table157[[#This Row],[Interest]]+Table157[[#This Row],[Prepayments]]+Table157[[#This Row],[RecoveredAmount]]</f>
        <v>0</v>
      </c>
      <c r="Q266" s="32">
        <f ca="1">ROUND(Table157[[#This Row],[Cash Flow]]/((1+ActualRateToUse)^(IF(ISNUMBER(SEARCH("Actual",$C$7)),Table157[[#This Row],[Running Total]]/365,Table157[[#This Row],[Period]]/12))),2)</f>
        <v>0</v>
      </c>
      <c r="R266" s="4">
        <f>IF(MONTH(Table157[[#This Row],[Date]])=2,28,DAY(DATE(YEAR(Table157[[#This Row],[Date]]),MONTH(Table157[[#This Row],[Date]])+1,1)-1))</f>
        <v>30</v>
      </c>
      <c r="S266" s="4">
        <f ca="1">SUM(OFFSET(Table157[[#Headers],[Days in month]],1,0):Table157[[#This Row],[Days in month]])</f>
        <v>7604</v>
      </c>
      <c r="T266" s="30">
        <f>InterestRate*AmortizationMultiplier*IF(ISNUMBER(SEARCH("Actual",$C$7)),Table157[[#This Row],[Days in month]]/365,1/12)</f>
        <v>2.8749999999999995E-3</v>
      </c>
    </row>
    <row r="267" spans="2:20" x14ac:dyDescent="0.2">
      <c r="B267" s="41">
        <f t="shared" ref="B267:B330" si="14">EOMONTH(B266,1)</f>
        <v>53478</v>
      </c>
      <c r="C267" s="4">
        <f t="shared" si="12"/>
        <v>251</v>
      </c>
      <c r="D267" s="32">
        <f t="shared" si="11"/>
        <v>0</v>
      </c>
      <c r="E267" s="32">
        <f>ROUND(Table157[[#This Row],[Beginning Balance]]*Table157[[#This Row],[Monthly Interest Rate]],2)</f>
        <v>0</v>
      </c>
      <c r="F267" s="32">
        <f t="shared" si="13"/>
        <v>5</v>
      </c>
      <c r="G267" s="45">
        <f>IFERROR(IF($C$13="No","N/A",IF(Table157[[#This Row],[Period]]=1,$C$6,PMT(InterestRate*AmortizationMultiplier/12,Table157[[#This Row],[Am Thru]],-Table157[[#This Row],[Beginning Balance]]))),0)</f>
        <v>0</v>
      </c>
      <c r="H267" s="32">
        <f>MAX(0,IF(C267=$C$4,D267,ROUND(IF($C$3="Fixed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7" s="32">
        <f>ROUND(Table157[[#This Row],[Defaulted Principal]]*IF($C$9="No",$E$4,VLOOKUP(Table157[[#This Row],[Period]],[1]Forecast!$H$2:$L$1048576,3,FALSE)),2)</f>
        <v>0</v>
      </c>
      <c r="L267" s="4">
        <f>Table157[[#This Row],[Period]]+$E$9</f>
        <v>263</v>
      </c>
      <c r="M267" s="32">
        <f>Table157[[#This Row],[Defaulted Principal]]-Table157[[#This Row],[Estimated Loss]]</f>
        <v>0</v>
      </c>
      <c r="N267" s="32">
        <f>IFERROR(VLOOKUP(Table157[[#This Row],[Period]],$L$16:$M$385,2,FALSE),0)</f>
        <v>0</v>
      </c>
      <c r="O267" s="32">
        <f>Table157[[#This Row],[Beginning Balance]]-Table157[[#This Row],[Principal]]-Table157[[#This Row],[Prepayments]]-Table157[[#This Row],[Defaulted Principal]]</f>
        <v>0</v>
      </c>
      <c r="P267" s="32">
        <f>Table157[[#This Row],[Principal]]+Table157[[#This Row],[Interest]]+Table157[[#This Row],[Prepayments]]+Table157[[#This Row],[RecoveredAmount]]</f>
        <v>0</v>
      </c>
      <c r="Q267" s="32">
        <f ca="1">ROUND(Table157[[#This Row],[Cash Flow]]/((1+ActualRateToUse)^(IF(ISNUMBER(SEARCH("Actual",$C$7)),Table157[[#This Row],[Running Total]]/365,Table157[[#This Row],[Period]]/12))),2)</f>
        <v>0</v>
      </c>
      <c r="R267" s="4">
        <f>IF(MONTH(Table157[[#This Row],[Date]])=2,28,DAY(DATE(YEAR(Table157[[#This Row],[Date]]),MONTH(Table157[[#This Row],[Date]])+1,1)-1))</f>
        <v>31</v>
      </c>
      <c r="S267" s="4">
        <f ca="1">SUM(OFFSET(Table157[[#Headers],[Days in month]],1,0):Table157[[#This Row],[Days in month]])</f>
        <v>7635</v>
      </c>
      <c r="T267" s="30">
        <f>InterestRate*AmortizationMultiplier*IF(ISNUMBER(SEARCH("Actual",$C$7)),Table157[[#This Row],[Days in month]]/365,1/12)</f>
        <v>2.9708333333333331E-3</v>
      </c>
    </row>
    <row r="268" spans="2:20" x14ac:dyDescent="0.2">
      <c r="B268" s="41">
        <f t="shared" si="14"/>
        <v>53508</v>
      </c>
      <c r="C268" s="4">
        <f t="shared" si="12"/>
        <v>252</v>
      </c>
      <c r="D268" s="32">
        <f t="shared" si="11"/>
        <v>0</v>
      </c>
      <c r="E268" s="32">
        <f>ROUND(Table157[[#This Row],[Beginning Balance]]*Table157[[#This Row],[Monthly Interest Rate]],2)</f>
        <v>0</v>
      </c>
      <c r="F268" s="32">
        <f t="shared" si="13"/>
        <v>4</v>
      </c>
      <c r="G268" s="45">
        <f>IFERROR(IF($C$13="No","N/A",IF(Table157[[#This Row],[Period]]=1,$C$6,PMT(InterestRate*AmortizationMultiplier/12,Table157[[#This Row],[Am Thru]],-Table157[[#This Row],[Beginning Balance]]))),0)</f>
        <v>0</v>
      </c>
      <c r="H268" s="32">
        <f>MAX(0,IF(C268=$C$4,D268,ROUND(IF($C$3="Fixed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8" s="32">
        <f>ROUND(Table157[[#This Row],[Defaulted Principal]]*IF($C$9="No",$E$4,VLOOKUP(Table157[[#This Row],[Period]],[1]Forecast!$H$2:$L$1048576,3,FALSE)),2)</f>
        <v>0</v>
      </c>
      <c r="L268" s="4">
        <f>Table157[[#This Row],[Period]]+$E$9</f>
        <v>264</v>
      </c>
      <c r="M268" s="32">
        <f>Table157[[#This Row],[Defaulted Principal]]-Table157[[#This Row],[Estimated Loss]]</f>
        <v>0</v>
      </c>
      <c r="N268" s="32">
        <f>IFERROR(VLOOKUP(Table157[[#This Row],[Period]],$L$16:$M$385,2,FALSE),0)</f>
        <v>0</v>
      </c>
      <c r="O268" s="32">
        <f>Table157[[#This Row],[Beginning Balance]]-Table157[[#This Row],[Principal]]-Table157[[#This Row],[Prepayments]]-Table157[[#This Row],[Defaulted Principal]]</f>
        <v>0</v>
      </c>
      <c r="P268" s="32">
        <f>Table157[[#This Row],[Principal]]+Table157[[#This Row],[Interest]]+Table157[[#This Row],[Prepayments]]+Table157[[#This Row],[RecoveredAmount]]</f>
        <v>0</v>
      </c>
      <c r="Q268" s="32">
        <f ca="1">ROUND(Table157[[#This Row],[Cash Flow]]/((1+ActualRateToUse)^(IF(ISNUMBER(SEARCH("Actual",$C$7)),Table157[[#This Row],[Running Total]]/365,Table157[[#This Row],[Period]]/12))),2)</f>
        <v>0</v>
      </c>
      <c r="R268" s="4">
        <f>IF(MONTH(Table157[[#This Row],[Date]])=2,28,DAY(DATE(YEAR(Table157[[#This Row],[Date]]),MONTH(Table157[[#This Row],[Date]])+1,1)-1))</f>
        <v>30</v>
      </c>
      <c r="S268" s="4">
        <f ca="1">SUM(OFFSET(Table157[[#Headers],[Days in month]],1,0):Table157[[#This Row],[Days in month]])</f>
        <v>7665</v>
      </c>
      <c r="T268" s="30">
        <f>InterestRate*AmortizationMultiplier*IF(ISNUMBER(SEARCH("Actual",$C$7)),Table157[[#This Row],[Days in month]]/365,1/12)</f>
        <v>2.8749999999999995E-3</v>
      </c>
    </row>
    <row r="269" spans="2:20" x14ac:dyDescent="0.2">
      <c r="B269" s="41">
        <f t="shared" si="14"/>
        <v>53539</v>
      </c>
      <c r="C269" s="4">
        <f t="shared" si="12"/>
        <v>253</v>
      </c>
      <c r="D269" s="32">
        <f t="shared" si="11"/>
        <v>0</v>
      </c>
      <c r="E269" s="32">
        <f>ROUND(Table157[[#This Row],[Beginning Balance]]*Table157[[#This Row],[Monthly Interest Rate]],2)</f>
        <v>0</v>
      </c>
      <c r="F269" s="32">
        <f t="shared" si="13"/>
        <v>3</v>
      </c>
      <c r="G269" s="45">
        <f>IFERROR(IF($C$13="No","N/A",IF(Table157[[#This Row],[Period]]=1,$C$6,PMT(InterestRate*AmortizationMultiplier/12,Table157[[#This Row],[Am Thru]],-Table157[[#This Row],[Beginning Balance]]))),0)</f>
        <v>0</v>
      </c>
      <c r="H269" s="32">
        <f>MAX(0,IF(C269=$C$4,D269,ROUND(IF($C$3="Fixed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6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6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69" s="32">
        <f>ROUND(Table157[[#This Row],[Defaulted Principal]]*IF($C$9="No",$E$4,VLOOKUP(Table157[[#This Row],[Period]],[1]Forecast!$H$2:$L$1048576,3,FALSE)),2)</f>
        <v>0</v>
      </c>
      <c r="L269" s="4">
        <f>Table157[[#This Row],[Period]]+$E$9</f>
        <v>265</v>
      </c>
      <c r="M269" s="32">
        <f>Table157[[#This Row],[Defaulted Principal]]-Table157[[#This Row],[Estimated Loss]]</f>
        <v>0</v>
      </c>
      <c r="N269" s="32">
        <f>IFERROR(VLOOKUP(Table157[[#This Row],[Period]],$L$16:$M$385,2,FALSE),0)</f>
        <v>0</v>
      </c>
      <c r="O269" s="32">
        <f>Table157[[#This Row],[Beginning Balance]]-Table157[[#This Row],[Principal]]-Table157[[#This Row],[Prepayments]]-Table157[[#This Row],[Defaulted Principal]]</f>
        <v>0</v>
      </c>
      <c r="P269" s="32">
        <f>Table157[[#This Row],[Principal]]+Table157[[#This Row],[Interest]]+Table157[[#This Row],[Prepayments]]+Table157[[#This Row],[RecoveredAmount]]</f>
        <v>0</v>
      </c>
      <c r="Q269" s="32">
        <f ca="1">ROUND(Table157[[#This Row],[Cash Flow]]/((1+ActualRateToUse)^(IF(ISNUMBER(SEARCH("Actual",$C$7)),Table157[[#This Row],[Running Total]]/365,Table157[[#This Row],[Period]]/12))),2)</f>
        <v>0</v>
      </c>
      <c r="R269" s="4">
        <f>IF(MONTH(Table157[[#This Row],[Date]])=2,28,DAY(DATE(YEAR(Table157[[#This Row],[Date]]),MONTH(Table157[[#This Row],[Date]])+1,1)-1))</f>
        <v>31</v>
      </c>
      <c r="S269" s="4">
        <f ca="1">SUM(OFFSET(Table157[[#Headers],[Days in month]],1,0):Table157[[#This Row],[Days in month]])</f>
        <v>7696</v>
      </c>
      <c r="T269" s="30">
        <f>InterestRate*AmortizationMultiplier*IF(ISNUMBER(SEARCH("Actual",$C$7)),Table157[[#This Row],[Days in month]]/365,1/12)</f>
        <v>2.9708333333333331E-3</v>
      </c>
    </row>
    <row r="270" spans="2:20" x14ac:dyDescent="0.2">
      <c r="B270" s="41">
        <f t="shared" si="14"/>
        <v>53570</v>
      </c>
      <c r="C270" s="4">
        <f t="shared" si="12"/>
        <v>254</v>
      </c>
      <c r="D270" s="32">
        <f t="shared" si="11"/>
        <v>0</v>
      </c>
      <c r="E270" s="32">
        <f>ROUND(Table157[[#This Row],[Beginning Balance]]*Table157[[#This Row],[Monthly Interest Rate]],2)</f>
        <v>0</v>
      </c>
      <c r="F270" s="32">
        <f t="shared" si="13"/>
        <v>2</v>
      </c>
      <c r="G270" s="45">
        <f>IFERROR(IF($C$13="No","N/A",IF(Table157[[#This Row],[Period]]=1,$C$6,PMT(InterestRate*AmortizationMultiplier/12,Table157[[#This Row],[Am Thru]],-Table157[[#This Row],[Beginning Balance]]))),0)</f>
        <v>0</v>
      </c>
      <c r="H270" s="32">
        <f>MAX(0,IF(C270=$C$4,D270,ROUND(IF($C$3="Fixed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0" s="32">
        <f>ROUND(Table157[[#This Row],[Defaulted Principal]]*IF($C$9="No",$E$4,VLOOKUP(Table157[[#This Row],[Period]],[1]Forecast!$H$2:$L$1048576,3,FALSE)),2)</f>
        <v>0</v>
      </c>
      <c r="L270" s="4">
        <f>Table157[[#This Row],[Period]]+$E$9</f>
        <v>266</v>
      </c>
      <c r="M270" s="32">
        <f>Table157[[#This Row],[Defaulted Principal]]-Table157[[#This Row],[Estimated Loss]]</f>
        <v>0</v>
      </c>
      <c r="N270" s="32">
        <f>IFERROR(VLOOKUP(Table157[[#This Row],[Period]],$L$16:$M$385,2,FALSE),0)</f>
        <v>0</v>
      </c>
      <c r="O270" s="32">
        <f>Table157[[#This Row],[Beginning Balance]]-Table157[[#This Row],[Principal]]-Table157[[#This Row],[Prepayments]]-Table157[[#This Row],[Defaulted Principal]]</f>
        <v>0</v>
      </c>
      <c r="P270" s="32">
        <f>Table157[[#This Row],[Principal]]+Table157[[#This Row],[Interest]]+Table157[[#This Row],[Prepayments]]+Table157[[#This Row],[RecoveredAmount]]</f>
        <v>0</v>
      </c>
      <c r="Q270" s="32">
        <f ca="1">ROUND(Table157[[#This Row],[Cash Flow]]/((1+ActualRateToUse)^(IF(ISNUMBER(SEARCH("Actual",$C$7)),Table157[[#This Row],[Running Total]]/365,Table157[[#This Row],[Period]]/12))),2)</f>
        <v>0</v>
      </c>
      <c r="R270" s="4">
        <f>IF(MONTH(Table157[[#This Row],[Date]])=2,28,DAY(DATE(YEAR(Table157[[#This Row],[Date]]),MONTH(Table157[[#This Row],[Date]])+1,1)-1))</f>
        <v>31</v>
      </c>
      <c r="S270" s="4">
        <f ca="1">SUM(OFFSET(Table157[[#Headers],[Days in month]],1,0):Table157[[#This Row],[Days in month]])</f>
        <v>7727</v>
      </c>
      <c r="T270" s="30">
        <f>InterestRate*AmortizationMultiplier*IF(ISNUMBER(SEARCH("Actual",$C$7)),Table157[[#This Row],[Days in month]]/365,1/12)</f>
        <v>2.9708333333333331E-3</v>
      </c>
    </row>
    <row r="271" spans="2:20" x14ac:dyDescent="0.2">
      <c r="B271" s="41">
        <f t="shared" si="14"/>
        <v>53600</v>
      </c>
      <c r="C271" s="4">
        <f t="shared" si="12"/>
        <v>255</v>
      </c>
      <c r="D271" s="32">
        <f t="shared" si="11"/>
        <v>0</v>
      </c>
      <c r="E271" s="32">
        <f>ROUND(Table157[[#This Row],[Beginning Balance]]*Table157[[#This Row],[Monthly Interest Rate]],2)</f>
        <v>0</v>
      </c>
      <c r="F271" s="32">
        <f t="shared" si="13"/>
        <v>1</v>
      </c>
      <c r="G271" s="45">
        <f>IFERROR(IF($C$13="No","N/A",IF(Table157[[#This Row],[Period]]=1,$C$6,PMT(InterestRate*AmortizationMultiplier/12,Table157[[#This Row],[Am Thru]],-Table157[[#This Row],[Beginning Balance]]))),0)</f>
        <v>0</v>
      </c>
      <c r="H271" s="32">
        <f>MAX(0,IF(C271=$C$4,D271,ROUND(IF($C$3="Fixed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1" s="32">
        <f>ROUND(Table157[[#This Row],[Defaulted Principal]]*IF($C$9="No",$E$4,VLOOKUP(Table157[[#This Row],[Period]],[1]Forecast!$H$2:$L$1048576,3,FALSE)),2)</f>
        <v>0</v>
      </c>
      <c r="L271" s="4">
        <f>Table157[[#This Row],[Period]]+$E$9</f>
        <v>267</v>
      </c>
      <c r="M271" s="32">
        <f>Table157[[#This Row],[Defaulted Principal]]-Table157[[#This Row],[Estimated Loss]]</f>
        <v>0</v>
      </c>
      <c r="N271" s="32">
        <f>IFERROR(VLOOKUP(Table157[[#This Row],[Period]],$L$16:$M$385,2,FALSE),0)</f>
        <v>0</v>
      </c>
      <c r="O271" s="32">
        <f>Table157[[#This Row],[Beginning Balance]]-Table157[[#This Row],[Principal]]-Table157[[#This Row],[Prepayments]]-Table157[[#This Row],[Defaulted Principal]]</f>
        <v>0</v>
      </c>
      <c r="P271" s="32">
        <f>Table157[[#This Row],[Principal]]+Table157[[#This Row],[Interest]]+Table157[[#This Row],[Prepayments]]+Table157[[#This Row],[RecoveredAmount]]</f>
        <v>0</v>
      </c>
      <c r="Q271" s="32">
        <f ca="1">ROUND(Table157[[#This Row],[Cash Flow]]/((1+ActualRateToUse)^(IF(ISNUMBER(SEARCH("Actual",$C$7)),Table157[[#This Row],[Running Total]]/365,Table157[[#This Row],[Period]]/12))),2)</f>
        <v>0</v>
      </c>
      <c r="R271" s="4">
        <f>IF(MONTH(Table157[[#This Row],[Date]])=2,28,DAY(DATE(YEAR(Table157[[#This Row],[Date]]),MONTH(Table157[[#This Row],[Date]])+1,1)-1))</f>
        <v>30</v>
      </c>
      <c r="S271" s="4">
        <f ca="1">SUM(OFFSET(Table157[[#Headers],[Days in month]],1,0):Table157[[#This Row],[Days in month]])</f>
        <v>7757</v>
      </c>
      <c r="T271" s="30">
        <f>InterestRate*AmortizationMultiplier*IF(ISNUMBER(SEARCH("Actual",$C$7)),Table157[[#This Row],[Days in month]]/365,1/12)</f>
        <v>2.8749999999999995E-3</v>
      </c>
    </row>
    <row r="272" spans="2:20" x14ac:dyDescent="0.2">
      <c r="B272" s="41">
        <f t="shared" si="14"/>
        <v>53631</v>
      </c>
      <c r="C272" s="4">
        <f t="shared" si="12"/>
        <v>256</v>
      </c>
      <c r="D272" s="32">
        <f t="shared" si="11"/>
        <v>0</v>
      </c>
      <c r="E272" s="32">
        <f>ROUND(Table157[[#This Row],[Beginning Balance]]*Table157[[#This Row],[Monthly Interest Rate]],2)</f>
        <v>0</v>
      </c>
      <c r="F272" s="32">
        <f t="shared" si="13"/>
        <v>0</v>
      </c>
      <c r="G272" s="45">
        <f>IFERROR(IF($C$13="No","N/A",IF(Table157[[#This Row],[Period]]=1,$C$6,PMT(InterestRate*AmortizationMultiplier/12,Table157[[#This Row],[Am Thru]],-Table157[[#This Row],[Beginning Balance]]))),0)</f>
        <v>0</v>
      </c>
      <c r="H272" s="32">
        <f>MAX(0,IF(C272=$C$4,D272,ROUND(IF($C$3="Fixed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2" s="32">
        <f>ROUND(Table157[[#This Row],[Defaulted Principal]]*IF($C$9="No",$E$4,VLOOKUP(Table157[[#This Row],[Period]],[1]Forecast!$H$2:$L$1048576,3,FALSE)),2)</f>
        <v>0</v>
      </c>
      <c r="L272" s="4">
        <f>Table157[[#This Row],[Period]]+$E$9</f>
        <v>268</v>
      </c>
      <c r="M272" s="32">
        <f>Table157[[#This Row],[Defaulted Principal]]-Table157[[#This Row],[Estimated Loss]]</f>
        <v>0</v>
      </c>
      <c r="N272" s="32">
        <f>IFERROR(VLOOKUP(Table157[[#This Row],[Period]],$L$16:$M$385,2,FALSE),0)</f>
        <v>0</v>
      </c>
      <c r="O272" s="32">
        <f>Table157[[#This Row],[Beginning Balance]]-Table157[[#This Row],[Principal]]-Table157[[#This Row],[Prepayments]]-Table157[[#This Row],[Defaulted Principal]]</f>
        <v>0</v>
      </c>
      <c r="P272" s="32">
        <f>Table157[[#This Row],[Principal]]+Table157[[#This Row],[Interest]]+Table157[[#This Row],[Prepayments]]+Table157[[#This Row],[RecoveredAmount]]</f>
        <v>0</v>
      </c>
      <c r="Q272" s="32">
        <f ca="1">ROUND(Table157[[#This Row],[Cash Flow]]/((1+ActualRateToUse)^(IF(ISNUMBER(SEARCH("Actual",$C$7)),Table157[[#This Row],[Running Total]]/365,Table157[[#This Row],[Period]]/12))),2)</f>
        <v>0</v>
      </c>
      <c r="R272" s="4">
        <f>IF(MONTH(Table157[[#This Row],[Date]])=2,28,DAY(DATE(YEAR(Table157[[#This Row],[Date]]),MONTH(Table157[[#This Row],[Date]])+1,1)-1))</f>
        <v>31</v>
      </c>
      <c r="S272" s="4">
        <f ca="1">SUM(OFFSET(Table157[[#Headers],[Days in month]],1,0):Table157[[#This Row],[Days in month]])</f>
        <v>7788</v>
      </c>
      <c r="T272" s="30">
        <f>InterestRate*AmortizationMultiplier*IF(ISNUMBER(SEARCH("Actual",$C$7)),Table157[[#This Row],[Days in month]]/365,1/12)</f>
        <v>2.9708333333333331E-3</v>
      </c>
    </row>
    <row r="273" spans="2:20" x14ac:dyDescent="0.2">
      <c r="B273" s="41">
        <f t="shared" si="14"/>
        <v>53661</v>
      </c>
      <c r="C273" s="4">
        <f t="shared" si="12"/>
        <v>257</v>
      </c>
      <c r="D273" s="32">
        <f t="shared" si="11"/>
        <v>0</v>
      </c>
      <c r="E273" s="32">
        <f>ROUND(Table157[[#This Row],[Beginning Balance]]*Table157[[#This Row],[Monthly Interest Rate]],2)</f>
        <v>0</v>
      </c>
      <c r="F273" s="32">
        <f t="shared" si="13"/>
        <v>-1</v>
      </c>
      <c r="G273" s="45">
        <f>IFERROR(IF($C$13="No","N/A",IF(Table157[[#This Row],[Period]]=1,$C$6,PMT(InterestRate*AmortizationMultiplier/12,Table157[[#This Row],[Am Thru]],-Table157[[#This Row],[Beginning Balance]]))),0)</f>
        <v>0</v>
      </c>
      <c r="H273" s="32">
        <f>MAX(0,IF(C273=$C$4,D273,ROUND(IF($C$3="Fixed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3" s="32">
        <f>ROUND(Table157[[#This Row],[Defaulted Principal]]*IF($C$9="No",$E$4,VLOOKUP(Table157[[#This Row],[Period]],[1]Forecast!$H$2:$L$1048576,3,FALSE)),2)</f>
        <v>0</v>
      </c>
      <c r="L273" s="4">
        <f>Table157[[#This Row],[Period]]+$E$9</f>
        <v>269</v>
      </c>
      <c r="M273" s="32">
        <f>Table157[[#This Row],[Defaulted Principal]]-Table157[[#This Row],[Estimated Loss]]</f>
        <v>0</v>
      </c>
      <c r="N273" s="32">
        <f>IFERROR(VLOOKUP(Table157[[#This Row],[Period]],$L$16:$M$385,2,FALSE),0)</f>
        <v>0</v>
      </c>
      <c r="O273" s="32">
        <f>Table157[[#This Row],[Beginning Balance]]-Table157[[#This Row],[Principal]]-Table157[[#This Row],[Prepayments]]-Table157[[#This Row],[Defaulted Principal]]</f>
        <v>0</v>
      </c>
      <c r="P273" s="32">
        <f>Table157[[#This Row],[Principal]]+Table157[[#This Row],[Interest]]+Table157[[#This Row],[Prepayments]]+Table157[[#This Row],[RecoveredAmount]]</f>
        <v>0</v>
      </c>
      <c r="Q273" s="32">
        <f ca="1">ROUND(Table157[[#This Row],[Cash Flow]]/((1+ActualRateToUse)^(IF(ISNUMBER(SEARCH("Actual",$C$7)),Table157[[#This Row],[Running Total]]/365,Table157[[#This Row],[Period]]/12))),2)</f>
        <v>0</v>
      </c>
      <c r="R273" s="4">
        <f>IF(MONTH(Table157[[#This Row],[Date]])=2,28,DAY(DATE(YEAR(Table157[[#This Row],[Date]]),MONTH(Table157[[#This Row],[Date]])+1,1)-1))</f>
        <v>30</v>
      </c>
      <c r="S273" s="4">
        <f ca="1">SUM(OFFSET(Table157[[#Headers],[Days in month]],1,0):Table157[[#This Row],[Days in month]])</f>
        <v>7818</v>
      </c>
      <c r="T273" s="30">
        <f>InterestRate*AmortizationMultiplier*IF(ISNUMBER(SEARCH("Actual",$C$7)),Table157[[#This Row],[Days in month]]/365,1/12)</f>
        <v>2.8749999999999995E-3</v>
      </c>
    </row>
    <row r="274" spans="2:20" x14ac:dyDescent="0.2">
      <c r="B274" s="41">
        <f t="shared" si="14"/>
        <v>53692</v>
      </c>
      <c r="C274" s="4">
        <f t="shared" si="12"/>
        <v>258</v>
      </c>
      <c r="D274" s="32">
        <f t="shared" ref="D274:D337" si="15">O273</f>
        <v>0</v>
      </c>
      <c r="E274" s="32">
        <f>ROUND(Table157[[#This Row],[Beginning Balance]]*Table157[[#This Row],[Monthly Interest Rate]],2)</f>
        <v>0</v>
      </c>
      <c r="F274" s="32">
        <f t="shared" si="13"/>
        <v>-2</v>
      </c>
      <c r="G274" s="45">
        <f>IFERROR(IF($C$13="No","N/A",IF(Table157[[#This Row],[Period]]=1,$C$6,PMT(InterestRate*AmortizationMultiplier/12,Table157[[#This Row],[Am Thru]],-Table157[[#This Row],[Beginning Balance]]))),0)</f>
        <v>0</v>
      </c>
      <c r="H274" s="32">
        <f>MAX(0,IF(C274=$C$4,D274,ROUND(IF($C$3="Fixed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4" s="32">
        <f>ROUND(Table157[[#This Row],[Defaulted Principal]]*IF($C$9="No",$E$4,VLOOKUP(Table157[[#This Row],[Period]],[1]Forecast!$H$2:$L$1048576,3,FALSE)),2)</f>
        <v>0</v>
      </c>
      <c r="L274" s="4">
        <f>Table157[[#This Row],[Period]]+$E$9</f>
        <v>270</v>
      </c>
      <c r="M274" s="32">
        <f>Table157[[#This Row],[Defaulted Principal]]-Table157[[#This Row],[Estimated Loss]]</f>
        <v>0</v>
      </c>
      <c r="N274" s="32">
        <f>IFERROR(VLOOKUP(Table157[[#This Row],[Period]],$L$16:$M$385,2,FALSE),0)</f>
        <v>0</v>
      </c>
      <c r="O274" s="32">
        <f>Table157[[#This Row],[Beginning Balance]]-Table157[[#This Row],[Principal]]-Table157[[#This Row],[Prepayments]]-Table157[[#This Row],[Defaulted Principal]]</f>
        <v>0</v>
      </c>
      <c r="P274" s="32">
        <f>Table157[[#This Row],[Principal]]+Table157[[#This Row],[Interest]]+Table157[[#This Row],[Prepayments]]+Table157[[#This Row],[RecoveredAmount]]</f>
        <v>0</v>
      </c>
      <c r="Q274" s="32">
        <f ca="1">ROUND(Table157[[#This Row],[Cash Flow]]/((1+ActualRateToUse)^(IF(ISNUMBER(SEARCH("Actual",$C$7)),Table157[[#This Row],[Running Total]]/365,Table157[[#This Row],[Period]]/12))),2)</f>
        <v>0</v>
      </c>
      <c r="R274" s="4">
        <f>IF(MONTH(Table157[[#This Row],[Date]])=2,28,DAY(DATE(YEAR(Table157[[#This Row],[Date]]),MONTH(Table157[[#This Row],[Date]])+1,1)-1))</f>
        <v>31</v>
      </c>
      <c r="S274" s="4">
        <f ca="1">SUM(OFFSET(Table157[[#Headers],[Days in month]],1,0):Table157[[#This Row],[Days in month]])</f>
        <v>7849</v>
      </c>
      <c r="T274" s="30">
        <f>InterestRate*AmortizationMultiplier*IF(ISNUMBER(SEARCH("Actual",$C$7)),Table157[[#This Row],[Days in month]]/365,1/12)</f>
        <v>2.9708333333333331E-3</v>
      </c>
    </row>
    <row r="275" spans="2:20" x14ac:dyDescent="0.2">
      <c r="B275" s="41">
        <f t="shared" si="14"/>
        <v>53723</v>
      </c>
      <c r="C275" s="4">
        <f t="shared" ref="C275:C338" si="16">C274+1</f>
        <v>259</v>
      </c>
      <c r="D275" s="32">
        <f t="shared" si="15"/>
        <v>0</v>
      </c>
      <c r="E275" s="32">
        <f>ROUND(Table157[[#This Row],[Beginning Balance]]*Table157[[#This Row],[Monthly Interest Rate]],2)</f>
        <v>0</v>
      </c>
      <c r="F275" s="32">
        <f t="shared" ref="F275:F338" si="17">+F274-1</f>
        <v>-3</v>
      </c>
      <c r="G275" s="45">
        <f>IFERROR(IF($C$13="No","N/A",IF(Table157[[#This Row],[Period]]=1,$C$6,PMT(InterestRate*AmortizationMultiplier/12,Table157[[#This Row],[Am Thru]],-Table157[[#This Row],[Beginning Balance]]))),0)</f>
        <v>0</v>
      </c>
      <c r="H275" s="32">
        <f>MAX(0,IF(C275=$C$4,D275,ROUND(IF($C$3="Fixed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5" s="32">
        <f>ROUND(Table157[[#This Row],[Defaulted Principal]]*IF($C$9="No",$E$4,VLOOKUP(Table157[[#This Row],[Period]],[1]Forecast!$H$2:$L$1048576,3,FALSE)),2)</f>
        <v>0</v>
      </c>
      <c r="L275" s="4">
        <f>Table157[[#This Row],[Period]]+$E$9</f>
        <v>271</v>
      </c>
      <c r="M275" s="32">
        <f>Table157[[#This Row],[Defaulted Principal]]-Table157[[#This Row],[Estimated Loss]]</f>
        <v>0</v>
      </c>
      <c r="N275" s="32">
        <f>IFERROR(VLOOKUP(Table157[[#This Row],[Period]],$L$16:$M$385,2,FALSE),0)</f>
        <v>0</v>
      </c>
      <c r="O275" s="32">
        <f>Table157[[#This Row],[Beginning Balance]]-Table157[[#This Row],[Principal]]-Table157[[#This Row],[Prepayments]]-Table157[[#This Row],[Defaulted Principal]]</f>
        <v>0</v>
      </c>
      <c r="P275" s="32">
        <f>Table157[[#This Row],[Principal]]+Table157[[#This Row],[Interest]]+Table157[[#This Row],[Prepayments]]+Table157[[#This Row],[RecoveredAmount]]</f>
        <v>0</v>
      </c>
      <c r="Q275" s="32">
        <f ca="1">ROUND(Table157[[#This Row],[Cash Flow]]/((1+ActualRateToUse)^(IF(ISNUMBER(SEARCH("Actual",$C$7)),Table157[[#This Row],[Running Total]]/365,Table157[[#This Row],[Period]]/12))),2)</f>
        <v>0</v>
      </c>
      <c r="R275" s="4">
        <f>IF(MONTH(Table157[[#This Row],[Date]])=2,28,DAY(DATE(YEAR(Table157[[#This Row],[Date]]),MONTH(Table157[[#This Row],[Date]])+1,1)-1))</f>
        <v>31</v>
      </c>
      <c r="S275" s="4">
        <f ca="1">SUM(OFFSET(Table157[[#Headers],[Days in month]],1,0):Table157[[#This Row],[Days in month]])</f>
        <v>7880</v>
      </c>
      <c r="T275" s="30">
        <f>InterestRate*AmortizationMultiplier*IF(ISNUMBER(SEARCH("Actual",$C$7)),Table157[[#This Row],[Days in month]]/365,1/12)</f>
        <v>2.9708333333333331E-3</v>
      </c>
    </row>
    <row r="276" spans="2:20" x14ac:dyDescent="0.2">
      <c r="B276" s="41">
        <f t="shared" si="14"/>
        <v>53751</v>
      </c>
      <c r="C276" s="4">
        <f t="shared" si="16"/>
        <v>260</v>
      </c>
      <c r="D276" s="32">
        <f t="shared" si="15"/>
        <v>0</v>
      </c>
      <c r="E276" s="32">
        <f>ROUND(Table157[[#This Row],[Beginning Balance]]*Table157[[#This Row],[Monthly Interest Rate]],2)</f>
        <v>0</v>
      </c>
      <c r="F276" s="32">
        <f t="shared" si="17"/>
        <v>-4</v>
      </c>
      <c r="G276" s="45">
        <f>IFERROR(IF($C$13="No","N/A",IF(Table157[[#This Row],[Period]]=1,$C$6,PMT(InterestRate*AmortizationMultiplier/12,Table157[[#This Row],[Am Thru]],-Table157[[#This Row],[Beginning Balance]]))),0)</f>
        <v>0</v>
      </c>
      <c r="H276" s="32">
        <f>MAX(0,IF(C276=$C$4,D276,ROUND(IF($C$3="Fixed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6" s="32">
        <f>ROUND(Table157[[#This Row],[Defaulted Principal]]*IF($C$9="No",$E$4,VLOOKUP(Table157[[#This Row],[Period]],[1]Forecast!$H$2:$L$1048576,3,FALSE)),2)</f>
        <v>0</v>
      </c>
      <c r="L276" s="4">
        <f>Table157[[#This Row],[Period]]+$E$9</f>
        <v>272</v>
      </c>
      <c r="M276" s="32">
        <f>Table157[[#This Row],[Defaulted Principal]]-Table157[[#This Row],[Estimated Loss]]</f>
        <v>0</v>
      </c>
      <c r="N276" s="32">
        <f>IFERROR(VLOOKUP(Table157[[#This Row],[Period]],$L$16:$M$385,2,FALSE),0)</f>
        <v>0</v>
      </c>
      <c r="O276" s="32">
        <f>Table157[[#This Row],[Beginning Balance]]-Table157[[#This Row],[Principal]]-Table157[[#This Row],[Prepayments]]-Table157[[#This Row],[Defaulted Principal]]</f>
        <v>0</v>
      </c>
      <c r="P276" s="32">
        <f>Table157[[#This Row],[Principal]]+Table157[[#This Row],[Interest]]+Table157[[#This Row],[Prepayments]]+Table157[[#This Row],[RecoveredAmount]]</f>
        <v>0</v>
      </c>
      <c r="Q276" s="32">
        <f ca="1">ROUND(Table157[[#This Row],[Cash Flow]]/((1+ActualRateToUse)^(IF(ISNUMBER(SEARCH("Actual",$C$7)),Table157[[#This Row],[Running Total]]/365,Table157[[#This Row],[Period]]/12))),2)</f>
        <v>0</v>
      </c>
      <c r="R276" s="4">
        <f>IF(MONTH(Table157[[#This Row],[Date]])=2,28,DAY(DATE(YEAR(Table157[[#This Row],[Date]]),MONTH(Table157[[#This Row],[Date]])+1,1)-1))</f>
        <v>28</v>
      </c>
      <c r="S276" s="4">
        <f ca="1">SUM(OFFSET(Table157[[#Headers],[Days in month]],1,0):Table157[[#This Row],[Days in month]])</f>
        <v>7908</v>
      </c>
      <c r="T276" s="30">
        <f>InterestRate*AmortizationMultiplier*IF(ISNUMBER(SEARCH("Actual",$C$7)),Table157[[#This Row],[Days in month]]/365,1/12)</f>
        <v>2.6833333333333336E-3</v>
      </c>
    </row>
    <row r="277" spans="2:20" x14ac:dyDescent="0.2">
      <c r="B277" s="41">
        <f t="shared" si="14"/>
        <v>53782</v>
      </c>
      <c r="C277" s="4">
        <f t="shared" si="16"/>
        <v>261</v>
      </c>
      <c r="D277" s="32">
        <f t="shared" si="15"/>
        <v>0</v>
      </c>
      <c r="E277" s="32">
        <f>ROUND(Table157[[#This Row],[Beginning Balance]]*Table157[[#This Row],[Monthly Interest Rate]],2)</f>
        <v>0</v>
      </c>
      <c r="F277" s="32">
        <f t="shared" si="17"/>
        <v>-5</v>
      </c>
      <c r="G277" s="45">
        <f>IFERROR(IF($C$13="No","N/A",IF(Table157[[#This Row],[Period]]=1,$C$6,PMT(InterestRate*AmortizationMultiplier/12,Table157[[#This Row],[Am Thru]],-Table157[[#This Row],[Beginning Balance]]))),0)</f>
        <v>0</v>
      </c>
      <c r="H277" s="32">
        <f>MAX(0,IF(C277=$C$4,D277,ROUND(IF($C$3="Fixed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7" s="32">
        <f>ROUND(Table157[[#This Row],[Defaulted Principal]]*IF($C$9="No",$E$4,VLOOKUP(Table157[[#This Row],[Period]],[1]Forecast!$H$2:$L$1048576,3,FALSE)),2)</f>
        <v>0</v>
      </c>
      <c r="L277" s="4">
        <f>Table157[[#This Row],[Period]]+$E$9</f>
        <v>273</v>
      </c>
      <c r="M277" s="32">
        <f>Table157[[#This Row],[Defaulted Principal]]-Table157[[#This Row],[Estimated Loss]]</f>
        <v>0</v>
      </c>
      <c r="N277" s="32">
        <f>IFERROR(VLOOKUP(Table157[[#This Row],[Period]],$L$16:$M$385,2,FALSE),0)</f>
        <v>0</v>
      </c>
      <c r="O277" s="32">
        <f>Table157[[#This Row],[Beginning Balance]]-Table157[[#This Row],[Principal]]-Table157[[#This Row],[Prepayments]]-Table157[[#This Row],[Defaulted Principal]]</f>
        <v>0</v>
      </c>
      <c r="P277" s="32">
        <f>Table157[[#This Row],[Principal]]+Table157[[#This Row],[Interest]]+Table157[[#This Row],[Prepayments]]+Table157[[#This Row],[RecoveredAmount]]</f>
        <v>0</v>
      </c>
      <c r="Q277" s="32">
        <f ca="1">ROUND(Table157[[#This Row],[Cash Flow]]/((1+ActualRateToUse)^(IF(ISNUMBER(SEARCH("Actual",$C$7)),Table157[[#This Row],[Running Total]]/365,Table157[[#This Row],[Period]]/12))),2)</f>
        <v>0</v>
      </c>
      <c r="R277" s="4">
        <f>IF(MONTH(Table157[[#This Row],[Date]])=2,28,DAY(DATE(YEAR(Table157[[#This Row],[Date]]),MONTH(Table157[[#This Row],[Date]])+1,1)-1))</f>
        <v>31</v>
      </c>
      <c r="S277" s="4">
        <f ca="1">SUM(OFFSET(Table157[[#Headers],[Days in month]],1,0):Table157[[#This Row],[Days in month]])</f>
        <v>7939</v>
      </c>
      <c r="T277" s="30">
        <f>InterestRate*AmortizationMultiplier*IF(ISNUMBER(SEARCH("Actual",$C$7)),Table157[[#This Row],[Days in month]]/365,1/12)</f>
        <v>2.9708333333333331E-3</v>
      </c>
    </row>
    <row r="278" spans="2:20" x14ac:dyDescent="0.2">
      <c r="B278" s="41">
        <f t="shared" si="14"/>
        <v>53812</v>
      </c>
      <c r="C278" s="4">
        <f t="shared" si="16"/>
        <v>262</v>
      </c>
      <c r="D278" s="32">
        <f t="shared" si="15"/>
        <v>0</v>
      </c>
      <c r="E278" s="32">
        <f>ROUND(Table157[[#This Row],[Beginning Balance]]*Table157[[#This Row],[Monthly Interest Rate]],2)</f>
        <v>0</v>
      </c>
      <c r="F278" s="32">
        <f t="shared" si="17"/>
        <v>-6</v>
      </c>
      <c r="G278" s="45">
        <f>IFERROR(IF($C$13="No","N/A",IF(Table157[[#This Row],[Period]]=1,$C$6,PMT(InterestRate*AmortizationMultiplier/12,Table157[[#This Row],[Am Thru]],-Table157[[#This Row],[Beginning Balance]]))),0)</f>
        <v>0</v>
      </c>
      <c r="H278" s="32">
        <f>MAX(0,IF(C278=$C$4,D278,ROUND(IF($C$3="Fixed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8" s="32">
        <f>ROUND(Table157[[#This Row],[Defaulted Principal]]*IF($C$9="No",$E$4,VLOOKUP(Table157[[#This Row],[Period]],[1]Forecast!$H$2:$L$1048576,3,FALSE)),2)</f>
        <v>0</v>
      </c>
      <c r="L278" s="4">
        <f>Table157[[#This Row],[Period]]+$E$9</f>
        <v>274</v>
      </c>
      <c r="M278" s="32">
        <f>Table157[[#This Row],[Defaulted Principal]]-Table157[[#This Row],[Estimated Loss]]</f>
        <v>0</v>
      </c>
      <c r="N278" s="32">
        <f>IFERROR(VLOOKUP(Table157[[#This Row],[Period]],$L$16:$M$385,2,FALSE),0)</f>
        <v>0</v>
      </c>
      <c r="O278" s="32">
        <f>Table157[[#This Row],[Beginning Balance]]-Table157[[#This Row],[Principal]]-Table157[[#This Row],[Prepayments]]-Table157[[#This Row],[Defaulted Principal]]</f>
        <v>0</v>
      </c>
      <c r="P278" s="32">
        <f>Table157[[#This Row],[Principal]]+Table157[[#This Row],[Interest]]+Table157[[#This Row],[Prepayments]]+Table157[[#This Row],[RecoveredAmount]]</f>
        <v>0</v>
      </c>
      <c r="Q278" s="32">
        <f ca="1">ROUND(Table157[[#This Row],[Cash Flow]]/((1+ActualRateToUse)^(IF(ISNUMBER(SEARCH("Actual",$C$7)),Table157[[#This Row],[Running Total]]/365,Table157[[#This Row],[Period]]/12))),2)</f>
        <v>0</v>
      </c>
      <c r="R278" s="4">
        <f>IF(MONTH(Table157[[#This Row],[Date]])=2,28,DAY(DATE(YEAR(Table157[[#This Row],[Date]]),MONTH(Table157[[#This Row],[Date]])+1,1)-1))</f>
        <v>30</v>
      </c>
      <c r="S278" s="4">
        <f ca="1">SUM(OFFSET(Table157[[#Headers],[Days in month]],1,0):Table157[[#This Row],[Days in month]])</f>
        <v>7969</v>
      </c>
      <c r="T278" s="30">
        <f>InterestRate*AmortizationMultiplier*IF(ISNUMBER(SEARCH("Actual",$C$7)),Table157[[#This Row],[Days in month]]/365,1/12)</f>
        <v>2.8749999999999995E-3</v>
      </c>
    </row>
    <row r="279" spans="2:20" x14ac:dyDescent="0.2">
      <c r="B279" s="41">
        <f t="shared" si="14"/>
        <v>53843</v>
      </c>
      <c r="C279" s="4">
        <f t="shared" si="16"/>
        <v>263</v>
      </c>
      <c r="D279" s="32">
        <f t="shared" si="15"/>
        <v>0</v>
      </c>
      <c r="E279" s="32">
        <f>ROUND(Table157[[#This Row],[Beginning Balance]]*Table157[[#This Row],[Monthly Interest Rate]],2)</f>
        <v>0</v>
      </c>
      <c r="F279" s="32">
        <f t="shared" si="17"/>
        <v>-7</v>
      </c>
      <c r="G279" s="45">
        <f>IFERROR(IF($C$13="No","N/A",IF(Table157[[#This Row],[Period]]=1,$C$6,PMT(InterestRate*AmortizationMultiplier/12,Table157[[#This Row],[Am Thru]],-Table157[[#This Row],[Beginning Balance]]))),0)</f>
        <v>0</v>
      </c>
      <c r="H279" s="32">
        <f>MAX(0,IF(C279=$C$4,D279,ROUND(IF($C$3="Fixed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7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7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79" s="32">
        <f>ROUND(Table157[[#This Row],[Defaulted Principal]]*IF($C$9="No",$E$4,VLOOKUP(Table157[[#This Row],[Period]],[1]Forecast!$H$2:$L$1048576,3,FALSE)),2)</f>
        <v>0</v>
      </c>
      <c r="L279" s="4">
        <f>Table157[[#This Row],[Period]]+$E$9</f>
        <v>275</v>
      </c>
      <c r="M279" s="32">
        <f>Table157[[#This Row],[Defaulted Principal]]-Table157[[#This Row],[Estimated Loss]]</f>
        <v>0</v>
      </c>
      <c r="N279" s="32">
        <f>IFERROR(VLOOKUP(Table157[[#This Row],[Period]],$L$16:$M$385,2,FALSE),0)</f>
        <v>0</v>
      </c>
      <c r="O279" s="32">
        <f>Table157[[#This Row],[Beginning Balance]]-Table157[[#This Row],[Principal]]-Table157[[#This Row],[Prepayments]]-Table157[[#This Row],[Defaulted Principal]]</f>
        <v>0</v>
      </c>
      <c r="P279" s="32">
        <f>Table157[[#This Row],[Principal]]+Table157[[#This Row],[Interest]]+Table157[[#This Row],[Prepayments]]+Table157[[#This Row],[RecoveredAmount]]</f>
        <v>0</v>
      </c>
      <c r="Q279" s="32">
        <f ca="1">ROUND(Table157[[#This Row],[Cash Flow]]/((1+ActualRateToUse)^(IF(ISNUMBER(SEARCH("Actual",$C$7)),Table157[[#This Row],[Running Total]]/365,Table157[[#This Row],[Period]]/12))),2)</f>
        <v>0</v>
      </c>
      <c r="R279" s="4">
        <f>IF(MONTH(Table157[[#This Row],[Date]])=2,28,DAY(DATE(YEAR(Table157[[#This Row],[Date]]),MONTH(Table157[[#This Row],[Date]])+1,1)-1))</f>
        <v>31</v>
      </c>
      <c r="S279" s="4">
        <f ca="1">SUM(OFFSET(Table157[[#Headers],[Days in month]],1,0):Table157[[#This Row],[Days in month]])</f>
        <v>8000</v>
      </c>
      <c r="T279" s="30">
        <f>InterestRate*AmortizationMultiplier*IF(ISNUMBER(SEARCH("Actual",$C$7)),Table157[[#This Row],[Days in month]]/365,1/12)</f>
        <v>2.9708333333333331E-3</v>
      </c>
    </row>
    <row r="280" spans="2:20" x14ac:dyDescent="0.2">
      <c r="B280" s="41">
        <f t="shared" si="14"/>
        <v>53873</v>
      </c>
      <c r="C280" s="4">
        <f t="shared" si="16"/>
        <v>264</v>
      </c>
      <c r="D280" s="32">
        <f t="shared" si="15"/>
        <v>0</v>
      </c>
      <c r="E280" s="32">
        <f>ROUND(Table157[[#This Row],[Beginning Balance]]*Table157[[#This Row],[Monthly Interest Rate]],2)</f>
        <v>0</v>
      </c>
      <c r="F280" s="32">
        <f t="shared" si="17"/>
        <v>-8</v>
      </c>
      <c r="G280" s="45">
        <f>IFERROR(IF($C$13="No","N/A",IF(Table157[[#This Row],[Period]]=1,$C$6,PMT(InterestRate*AmortizationMultiplier/12,Table157[[#This Row],[Am Thru]],-Table157[[#This Row],[Beginning Balance]]))),0)</f>
        <v>0</v>
      </c>
      <c r="H280" s="32">
        <f>MAX(0,IF(C280=$C$4,D280,ROUND(IF($C$3="Fixed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0" s="32">
        <f>ROUND(Table157[[#This Row],[Defaulted Principal]]*IF($C$9="No",$E$4,VLOOKUP(Table157[[#This Row],[Period]],[1]Forecast!$H$2:$L$1048576,3,FALSE)),2)</f>
        <v>0</v>
      </c>
      <c r="L280" s="4">
        <f>Table157[[#This Row],[Period]]+$E$9</f>
        <v>276</v>
      </c>
      <c r="M280" s="32">
        <f>Table157[[#This Row],[Defaulted Principal]]-Table157[[#This Row],[Estimated Loss]]</f>
        <v>0</v>
      </c>
      <c r="N280" s="32">
        <f>IFERROR(VLOOKUP(Table157[[#This Row],[Period]],$L$16:$M$385,2,FALSE),0)</f>
        <v>0</v>
      </c>
      <c r="O280" s="32">
        <f>Table157[[#This Row],[Beginning Balance]]-Table157[[#This Row],[Principal]]-Table157[[#This Row],[Prepayments]]-Table157[[#This Row],[Defaulted Principal]]</f>
        <v>0</v>
      </c>
      <c r="P280" s="32">
        <f>Table157[[#This Row],[Principal]]+Table157[[#This Row],[Interest]]+Table157[[#This Row],[Prepayments]]+Table157[[#This Row],[RecoveredAmount]]</f>
        <v>0</v>
      </c>
      <c r="Q280" s="32">
        <f ca="1">ROUND(Table157[[#This Row],[Cash Flow]]/((1+ActualRateToUse)^(IF(ISNUMBER(SEARCH("Actual",$C$7)),Table157[[#This Row],[Running Total]]/365,Table157[[#This Row],[Period]]/12))),2)</f>
        <v>0</v>
      </c>
      <c r="R280" s="4">
        <f>IF(MONTH(Table157[[#This Row],[Date]])=2,28,DAY(DATE(YEAR(Table157[[#This Row],[Date]]),MONTH(Table157[[#This Row],[Date]])+1,1)-1))</f>
        <v>30</v>
      </c>
      <c r="S280" s="4">
        <f ca="1">SUM(OFFSET(Table157[[#Headers],[Days in month]],1,0):Table157[[#This Row],[Days in month]])</f>
        <v>8030</v>
      </c>
      <c r="T280" s="30">
        <f>InterestRate*AmortizationMultiplier*IF(ISNUMBER(SEARCH("Actual",$C$7)),Table157[[#This Row],[Days in month]]/365,1/12)</f>
        <v>2.8749999999999995E-3</v>
      </c>
    </row>
    <row r="281" spans="2:20" x14ac:dyDescent="0.2">
      <c r="B281" s="41">
        <f t="shared" si="14"/>
        <v>53904</v>
      </c>
      <c r="C281" s="4">
        <f t="shared" si="16"/>
        <v>265</v>
      </c>
      <c r="D281" s="32">
        <f t="shared" si="15"/>
        <v>0</v>
      </c>
      <c r="E281" s="32">
        <f>ROUND(Table157[[#This Row],[Beginning Balance]]*Table157[[#This Row],[Monthly Interest Rate]],2)</f>
        <v>0</v>
      </c>
      <c r="F281" s="32">
        <f t="shared" si="17"/>
        <v>-9</v>
      </c>
      <c r="G281" s="45">
        <f>IFERROR(IF($C$13="No","N/A",IF(Table157[[#This Row],[Period]]=1,$C$6,PMT(InterestRate*AmortizationMultiplier/12,Table157[[#This Row],[Am Thru]],-Table157[[#This Row],[Beginning Balance]]))),0)</f>
        <v>0</v>
      </c>
      <c r="H281" s="32">
        <f>MAX(0,IF(C281=$C$4,D281,ROUND(IF($C$3="Fixed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1" s="32">
        <f>ROUND(Table157[[#This Row],[Defaulted Principal]]*IF($C$9="No",$E$4,VLOOKUP(Table157[[#This Row],[Period]],[1]Forecast!$H$2:$L$1048576,3,FALSE)),2)</f>
        <v>0</v>
      </c>
      <c r="L281" s="4">
        <f>Table157[[#This Row],[Period]]+$E$9</f>
        <v>277</v>
      </c>
      <c r="M281" s="32">
        <f>Table157[[#This Row],[Defaulted Principal]]-Table157[[#This Row],[Estimated Loss]]</f>
        <v>0</v>
      </c>
      <c r="N281" s="32">
        <f>IFERROR(VLOOKUP(Table157[[#This Row],[Period]],$L$16:$M$385,2,FALSE),0)</f>
        <v>0</v>
      </c>
      <c r="O281" s="32">
        <f>Table157[[#This Row],[Beginning Balance]]-Table157[[#This Row],[Principal]]-Table157[[#This Row],[Prepayments]]-Table157[[#This Row],[Defaulted Principal]]</f>
        <v>0</v>
      </c>
      <c r="P281" s="32">
        <f>Table157[[#This Row],[Principal]]+Table157[[#This Row],[Interest]]+Table157[[#This Row],[Prepayments]]+Table157[[#This Row],[RecoveredAmount]]</f>
        <v>0</v>
      </c>
      <c r="Q281" s="32">
        <f ca="1">ROUND(Table157[[#This Row],[Cash Flow]]/((1+ActualRateToUse)^(IF(ISNUMBER(SEARCH("Actual",$C$7)),Table157[[#This Row],[Running Total]]/365,Table157[[#This Row],[Period]]/12))),2)</f>
        <v>0</v>
      </c>
      <c r="R281" s="4">
        <f>IF(MONTH(Table157[[#This Row],[Date]])=2,28,DAY(DATE(YEAR(Table157[[#This Row],[Date]]),MONTH(Table157[[#This Row],[Date]])+1,1)-1))</f>
        <v>31</v>
      </c>
      <c r="S281" s="4">
        <f ca="1">SUM(OFFSET(Table157[[#Headers],[Days in month]],1,0):Table157[[#This Row],[Days in month]])</f>
        <v>8061</v>
      </c>
      <c r="T281" s="30">
        <f>InterestRate*AmortizationMultiplier*IF(ISNUMBER(SEARCH("Actual",$C$7)),Table157[[#This Row],[Days in month]]/365,1/12)</f>
        <v>2.9708333333333331E-3</v>
      </c>
    </row>
    <row r="282" spans="2:20" x14ac:dyDescent="0.2">
      <c r="B282" s="41">
        <f t="shared" si="14"/>
        <v>53935</v>
      </c>
      <c r="C282" s="4">
        <f t="shared" si="16"/>
        <v>266</v>
      </c>
      <c r="D282" s="32">
        <f t="shared" si="15"/>
        <v>0</v>
      </c>
      <c r="E282" s="32">
        <f>ROUND(Table157[[#This Row],[Beginning Balance]]*Table157[[#This Row],[Monthly Interest Rate]],2)</f>
        <v>0</v>
      </c>
      <c r="F282" s="32">
        <f t="shared" si="17"/>
        <v>-10</v>
      </c>
      <c r="G282" s="45">
        <f>IFERROR(IF($C$13="No","N/A",IF(Table157[[#This Row],[Period]]=1,$C$6,PMT(InterestRate*AmortizationMultiplier/12,Table157[[#This Row],[Am Thru]],-Table157[[#This Row],[Beginning Balance]]))),0)</f>
        <v>0</v>
      </c>
      <c r="H282" s="32">
        <f>MAX(0,IF(C282=$C$4,D282,ROUND(IF($C$3="Fixed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2" s="32">
        <f>ROUND(Table157[[#This Row],[Defaulted Principal]]*IF($C$9="No",$E$4,VLOOKUP(Table157[[#This Row],[Period]],[1]Forecast!$H$2:$L$1048576,3,FALSE)),2)</f>
        <v>0</v>
      </c>
      <c r="L282" s="4">
        <f>Table157[[#This Row],[Period]]+$E$9</f>
        <v>278</v>
      </c>
      <c r="M282" s="32">
        <f>Table157[[#This Row],[Defaulted Principal]]-Table157[[#This Row],[Estimated Loss]]</f>
        <v>0</v>
      </c>
      <c r="N282" s="32">
        <f>IFERROR(VLOOKUP(Table157[[#This Row],[Period]],$L$16:$M$385,2,FALSE),0)</f>
        <v>0</v>
      </c>
      <c r="O282" s="32">
        <f>Table157[[#This Row],[Beginning Balance]]-Table157[[#This Row],[Principal]]-Table157[[#This Row],[Prepayments]]-Table157[[#This Row],[Defaulted Principal]]</f>
        <v>0</v>
      </c>
      <c r="P282" s="32">
        <f>Table157[[#This Row],[Principal]]+Table157[[#This Row],[Interest]]+Table157[[#This Row],[Prepayments]]+Table157[[#This Row],[RecoveredAmount]]</f>
        <v>0</v>
      </c>
      <c r="Q282" s="32">
        <f ca="1">ROUND(Table157[[#This Row],[Cash Flow]]/((1+ActualRateToUse)^(IF(ISNUMBER(SEARCH("Actual",$C$7)),Table157[[#This Row],[Running Total]]/365,Table157[[#This Row],[Period]]/12))),2)</f>
        <v>0</v>
      </c>
      <c r="R282" s="4">
        <f>IF(MONTH(Table157[[#This Row],[Date]])=2,28,DAY(DATE(YEAR(Table157[[#This Row],[Date]]),MONTH(Table157[[#This Row],[Date]])+1,1)-1))</f>
        <v>31</v>
      </c>
      <c r="S282" s="4">
        <f ca="1">SUM(OFFSET(Table157[[#Headers],[Days in month]],1,0):Table157[[#This Row],[Days in month]])</f>
        <v>8092</v>
      </c>
      <c r="T282" s="30">
        <f>InterestRate*AmortizationMultiplier*IF(ISNUMBER(SEARCH("Actual",$C$7)),Table157[[#This Row],[Days in month]]/365,1/12)</f>
        <v>2.9708333333333331E-3</v>
      </c>
    </row>
    <row r="283" spans="2:20" x14ac:dyDescent="0.2">
      <c r="B283" s="41">
        <f t="shared" si="14"/>
        <v>53965</v>
      </c>
      <c r="C283" s="4">
        <f t="shared" si="16"/>
        <v>267</v>
      </c>
      <c r="D283" s="32">
        <f t="shared" si="15"/>
        <v>0</v>
      </c>
      <c r="E283" s="32">
        <f>ROUND(Table157[[#This Row],[Beginning Balance]]*Table157[[#This Row],[Monthly Interest Rate]],2)</f>
        <v>0</v>
      </c>
      <c r="F283" s="32">
        <f t="shared" si="17"/>
        <v>-11</v>
      </c>
      <c r="G283" s="45">
        <f>IFERROR(IF($C$13="No","N/A",IF(Table157[[#This Row],[Period]]=1,$C$6,PMT(InterestRate*AmortizationMultiplier/12,Table157[[#This Row],[Am Thru]],-Table157[[#This Row],[Beginning Balance]]))),0)</f>
        <v>0</v>
      </c>
      <c r="H283" s="32">
        <f>MAX(0,IF(C283=$C$4,D283,ROUND(IF($C$3="Fixed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3" s="32">
        <f>ROUND(Table157[[#This Row],[Defaulted Principal]]*IF($C$9="No",$E$4,VLOOKUP(Table157[[#This Row],[Period]],[1]Forecast!$H$2:$L$1048576,3,FALSE)),2)</f>
        <v>0</v>
      </c>
      <c r="L283" s="4">
        <f>Table157[[#This Row],[Period]]+$E$9</f>
        <v>279</v>
      </c>
      <c r="M283" s="32">
        <f>Table157[[#This Row],[Defaulted Principal]]-Table157[[#This Row],[Estimated Loss]]</f>
        <v>0</v>
      </c>
      <c r="N283" s="32">
        <f>IFERROR(VLOOKUP(Table157[[#This Row],[Period]],$L$16:$M$385,2,FALSE),0)</f>
        <v>0</v>
      </c>
      <c r="O283" s="32">
        <f>Table157[[#This Row],[Beginning Balance]]-Table157[[#This Row],[Principal]]-Table157[[#This Row],[Prepayments]]-Table157[[#This Row],[Defaulted Principal]]</f>
        <v>0</v>
      </c>
      <c r="P283" s="32">
        <f>Table157[[#This Row],[Principal]]+Table157[[#This Row],[Interest]]+Table157[[#This Row],[Prepayments]]+Table157[[#This Row],[RecoveredAmount]]</f>
        <v>0</v>
      </c>
      <c r="Q283" s="32">
        <f ca="1">ROUND(Table157[[#This Row],[Cash Flow]]/((1+ActualRateToUse)^(IF(ISNUMBER(SEARCH("Actual",$C$7)),Table157[[#This Row],[Running Total]]/365,Table157[[#This Row],[Period]]/12))),2)</f>
        <v>0</v>
      </c>
      <c r="R283" s="4">
        <f>IF(MONTH(Table157[[#This Row],[Date]])=2,28,DAY(DATE(YEAR(Table157[[#This Row],[Date]]),MONTH(Table157[[#This Row],[Date]])+1,1)-1))</f>
        <v>30</v>
      </c>
      <c r="S283" s="4">
        <f ca="1">SUM(OFFSET(Table157[[#Headers],[Days in month]],1,0):Table157[[#This Row],[Days in month]])</f>
        <v>8122</v>
      </c>
      <c r="T283" s="30">
        <f>InterestRate*AmortizationMultiplier*IF(ISNUMBER(SEARCH("Actual",$C$7)),Table157[[#This Row],[Days in month]]/365,1/12)</f>
        <v>2.8749999999999995E-3</v>
      </c>
    </row>
    <row r="284" spans="2:20" x14ac:dyDescent="0.2">
      <c r="B284" s="41">
        <f t="shared" si="14"/>
        <v>53996</v>
      </c>
      <c r="C284" s="4">
        <f t="shared" si="16"/>
        <v>268</v>
      </c>
      <c r="D284" s="32">
        <f t="shared" si="15"/>
        <v>0</v>
      </c>
      <c r="E284" s="32">
        <f>ROUND(Table157[[#This Row],[Beginning Balance]]*Table157[[#This Row],[Monthly Interest Rate]],2)</f>
        <v>0</v>
      </c>
      <c r="F284" s="32">
        <f t="shared" si="17"/>
        <v>-12</v>
      </c>
      <c r="G284" s="45">
        <f>IFERROR(IF($C$13="No","N/A",IF(Table157[[#This Row],[Period]]=1,$C$6,PMT(InterestRate*AmortizationMultiplier/12,Table157[[#This Row],[Am Thru]],-Table157[[#This Row],[Beginning Balance]]))),0)</f>
        <v>0</v>
      </c>
      <c r="H284" s="32">
        <f>MAX(0,IF(C284=$C$4,D284,ROUND(IF($C$3="Fixed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4" s="32">
        <f>ROUND(Table157[[#This Row],[Defaulted Principal]]*IF($C$9="No",$E$4,VLOOKUP(Table157[[#This Row],[Period]],[1]Forecast!$H$2:$L$1048576,3,FALSE)),2)</f>
        <v>0</v>
      </c>
      <c r="L284" s="4">
        <f>Table157[[#This Row],[Period]]+$E$9</f>
        <v>280</v>
      </c>
      <c r="M284" s="32">
        <f>Table157[[#This Row],[Defaulted Principal]]-Table157[[#This Row],[Estimated Loss]]</f>
        <v>0</v>
      </c>
      <c r="N284" s="32">
        <f>IFERROR(VLOOKUP(Table157[[#This Row],[Period]],$L$16:$M$385,2,FALSE),0)</f>
        <v>0</v>
      </c>
      <c r="O284" s="32">
        <f>Table157[[#This Row],[Beginning Balance]]-Table157[[#This Row],[Principal]]-Table157[[#This Row],[Prepayments]]-Table157[[#This Row],[Defaulted Principal]]</f>
        <v>0</v>
      </c>
      <c r="P284" s="32">
        <f>Table157[[#This Row],[Principal]]+Table157[[#This Row],[Interest]]+Table157[[#This Row],[Prepayments]]+Table157[[#This Row],[RecoveredAmount]]</f>
        <v>0</v>
      </c>
      <c r="Q284" s="32">
        <f ca="1">ROUND(Table157[[#This Row],[Cash Flow]]/((1+ActualRateToUse)^(IF(ISNUMBER(SEARCH("Actual",$C$7)),Table157[[#This Row],[Running Total]]/365,Table157[[#This Row],[Period]]/12))),2)</f>
        <v>0</v>
      </c>
      <c r="R284" s="4">
        <f>IF(MONTH(Table157[[#This Row],[Date]])=2,28,DAY(DATE(YEAR(Table157[[#This Row],[Date]]),MONTH(Table157[[#This Row],[Date]])+1,1)-1))</f>
        <v>31</v>
      </c>
      <c r="S284" s="4">
        <f ca="1">SUM(OFFSET(Table157[[#Headers],[Days in month]],1,0):Table157[[#This Row],[Days in month]])</f>
        <v>8153</v>
      </c>
      <c r="T284" s="30">
        <f>InterestRate*AmortizationMultiplier*IF(ISNUMBER(SEARCH("Actual",$C$7)),Table157[[#This Row],[Days in month]]/365,1/12)</f>
        <v>2.9708333333333331E-3</v>
      </c>
    </row>
    <row r="285" spans="2:20" x14ac:dyDescent="0.2">
      <c r="B285" s="41">
        <f t="shared" si="14"/>
        <v>54026</v>
      </c>
      <c r="C285" s="4">
        <f t="shared" si="16"/>
        <v>269</v>
      </c>
      <c r="D285" s="32">
        <f t="shared" si="15"/>
        <v>0</v>
      </c>
      <c r="E285" s="32">
        <f>ROUND(Table157[[#This Row],[Beginning Balance]]*Table157[[#This Row],[Monthly Interest Rate]],2)</f>
        <v>0</v>
      </c>
      <c r="F285" s="32">
        <f t="shared" si="17"/>
        <v>-13</v>
      </c>
      <c r="G285" s="45">
        <f>IFERROR(IF($C$13="No","N/A",IF(Table157[[#This Row],[Period]]=1,$C$6,PMT(InterestRate*AmortizationMultiplier/12,Table157[[#This Row],[Am Thru]],-Table157[[#This Row],[Beginning Balance]]))),0)</f>
        <v>0</v>
      </c>
      <c r="H285" s="32">
        <f>MAX(0,IF(C285=$C$4,D285,ROUND(IF($C$3="Fixed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5" s="32">
        <f>ROUND(Table157[[#This Row],[Defaulted Principal]]*IF($C$9="No",$E$4,VLOOKUP(Table157[[#This Row],[Period]],[1]Forecast!$H$2:$L$1048576,3,FALSE)),2)</f>
        <v>0</v>
      </c>
      <c r="L285" s="4">
        <f>Table157[[#This Row],[Period]]+$E$9</f>
        <v>281</v>
      </c>
      <c r="M285" s="32">
        <f>Table157[[#This Row],[Defaulted Principal]]-Table157[[#This Row],[Estimated Loss]]</f>
        <v>0</v>
      </c>
      <c r="N285" s="32">
        <f>IFERROR(VLOOKUP(Table157[[#This Row],[Period]],$L$16:$M$385,2,FALSE),0)</f>
        <v>0</v>
      </c>
      <c r="O285" s="32">
        <f>Table157[[#This Row],[Beginning Balance]]-Table157[[#This Row],[Principal]]-Table157[[#This Row],[Prepayments]]-Table157[[#This Row],[Defaulted Principal]]</f>
        <v>0</v>
      </c>
      <c r="P285" s="32">
        <f>Table157[[#This Row],[Principal]]+Table157[[#This Row],[Interest]]+Table157[[#This Row],[Prepayments]]+Table157[[#This Row],[RecoveredAmount]]</f>
        <v>0</v>
      </c>
      <c r="Q285" s="32">
        <f ca="1">ROUND(Table157[[#This Row],[Cash Flow]]/((1+ActualRateToUse)^(IF(ISNUMBER(SEARCH("Actual",$C$7)),Table157[[#This Row],[Running Total]]/365,Table157[[#This Row],[Period]]/12))),2)</f>
        <v>0</v>
      </c>
      <c r="R285" s="4">
        <f>IF(MONTH(Table157[[#This Row],[Date]])=2,28,DAY(DATE(YEAR(Table157[[#This Row],[Date]]),MONTH(Table157[[#This Row],[Date]])+1,1)-1))</f>
        <v>30</v>
      </c>
      <c r="S285" s="4">
        <f ca="1">SUM(OFFSET(Table157[[#Headers],[Days in month]],1,0):Table157[[#This Row],[Days in month]])</f>
        <v>8183</v>
      </c>
      <c r="T285" s="30">
        <f>InterestRate*AmortizationMultiplier*IF(ISNUMBER(SEARCH("Actual",$C$7)),Table157[[#This Row],[Days in month]]/365,1/12)</f>
        <v>2.8749999999999995E-3</v>
      </c>
    </row>
    <row r="286" spans="2:20" x14ac:dyDescent="0.2">
      <c r="B286" s="41">
        <f t="shared" si="14"/>
        <v>54057</v>
      </c>
      <c r="C286" s="4">
        <f t="shared" si="16"/>
        <v>270</v>
      </c>
      <c r="D286" s="32">
        <f t="shared" si="15"/>
        <v>0</v>
      </c>
      <c r="E286" s="32">
        <f>ROUND(Table157[[#This Row],[Beginning Balance]]*Table157[[#This Row],[Monthly Interest Rate]],2)</f>
        <v>0</v>
      </c>
      <c r="F286" s="32">
        <f t="shared" si="17"/>
        <v>-14</v>
      </c>
      <c r="G286" s="45">
        <f>IFERROR(IF($C$13="No","N/A",IF(Table157[[#This Row],[Period]]=1,$C$6,PMT(InterestRate*AmortizationMultiplier/12,Table157[[#This Row],[Am Thru]],-Table157[[#This Row],[Beginning Balance]]))),0)</f>
        <v>0</v>
      </c>
      <c r="H286" s="32">
        <f>MAX(0,IF(C286=$C$4,D286,ROUND(IF($C$3="Fixed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6" s="32">
        <f>ROUND(Table157[[#This Row],[Defaulted Principal]]*IF($C$9="No",$E$4,VLOOKUP(Table157[[#This Row],[Period]],[1]Forecast!$H$2:$L$1048576,3,FALSE)),2)</f>
        <v>0</v>
      </c>
      <c r="L286" s="4">
        <f>Table157[[#This Row],[Period]]+$E$9</f>
        <v>282</v>
      </c>
      <c r="M286" s="32">
        <f>Table157[[#This Row],[Defaulted Principal]]-Table157[[#This Row],[Estimated Loss]]</f>
        <v>0</v>
      </c>
      <c r="N286" s="32">
        <f>IFERROR(VLOOKUP(Table157[[#This Row],[Period]],$L$16:$M$385,2,FALSE),0)</f>
        <v>0</v>
      </c>
      <c r="O286" s="32">
        <f>Table157[[#This Row],[Beginning Balance]]-Table157[[#This Row],[Principal]]-Table157[[#This Row],[Prepayments]]-Table157[[#This Row],[Defaulted Principal]]</f>
        <v>0</v>
      </c>
      <c r="P286" s="32">
        <f>Table157[[#This Row],[Principal]]+Table157[[#This Row],[Interest]]+Table157[[#This Row],[Prepayments]]+Table157[[#This Row],[RecoveredAmount]]</f>
        <v>0</v>
      </c>
      <c r="Q286" s="32">
        <f ca="1">ROUND(Table157[[#This Row],[Cash Flow]]/((1+ActualRateToUse)^(IF(ISNUMBER(SEARCH("Actual",$C$7)),Table157[[#This Row],[Running Total]]/365,Table157[[#This Row],[Period]]/12))),2)</f>
        <v>0</v>
      </c>
      <c r="R286" s="4">
        <f>IF(MONTH(Table157[[#This Row],[Date]])=2,28,DAY(DATE(YEAR(Table157[[#This Row],[Date]]),MONTH(Table157[[#This Row],[Date]])+1,1)-1))</f>
        <v>31</v>
      </c>
      <c r="S286" s="4">
        <f ca="1">SUM(OFFSET(Table157[[#Headers],[Days in month]],1,0):Table157[[#This Row],[Days in month]])</f>
        <v>8214</v>
      </c>
      <c r="T286" s="30">
        <f>InterestRate*AmortizationMultiplier*IF(ISNUMBER(SEARCH("Actual",$C$7)),Table157[[#This Row],[Days in month]]/365,1/12)</f>
        <v>2.9708333333333331E-3</v>
      </c>
    </row>
    <row r="287" spans="2:20" x14ac:dyDescent="0.2">
      <c r="B287" s="41">
        <f t="shared" si="14"/>
        <v>54088</v>
      </c>
      <c r="C287" s="4">
        <f t="shared" si="16"/>
        <v>271</v>
      </c>
      <c r="D287" s="32">
        <f t="shared" si="15"/>
        <v>0</v>
      </c>
      <c r="E287" s="32">
        <f>ROUND(Table157[[#This Row],[Beginning Balance]]*Table157[[#This Row],[Monthly Interest Rate]],2)</f>
        <v>0</v>
      </c>
      <c r="F287" s="32">
        <f t="shared" si="17"/>
        <v>-15</v>
      </c>
      <c r="G287" s="45">
        <f>IFERROR(IF($C$13="No","N/A",IF(Table157[[#This Row],[Period]]=1,$C$6,PMT(InterestRate*AmortizationMultiplier/12,Table157[[#This Row],[Am Thru]],-Table157[[#This Row],[Beginning Balance]]))),0)</f>
        <v>0</v>
      </c>
      <c r="H287" s="32">
        <f>MAX(0,IF(C287=$C$4,D287,ROUND(IF($C$3="Fixed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7" s="32">
        <f>ROUND(Table157[[#This Row],[Defaulted Principal]]*IF($C$9="No",$E$4,VLOOKUP(Table157[[#This Row],[Period]],[1]Forecast!$H$2:$L$1048576,3,FALSE)),2)</f>
        <v>0</v>
      </c>
      <c r="L287" s="4">
        <f>Table157[[#This Row],[Period]]+$E$9</f>
        <v>283</v>
      </c>
      <c r="M287" s="32">
        <f>Table157[[#This Row],[Defaulted Principal]]-Table157[[#This Row],[Estimated Loss]]</f>
        <v>0</v>
      </c>
      <c r="N287" s="32">
        <f>IFERROR(VLOOKUP(Table157[[#This Row],[Period]],$L$16:$M$385,2,FALSE),0)</f>
        <v>0</v>
      </c>
      <c r="O287" s="32">
        <f>Table157[[#This Row],[Beginning Balance]]-Table157[[#This Row],[Principal]]-Table157[[#This Row],[Prepayments]]-Table157[[#This Row],[Defaulted Principal]]</f>
        <v>0</v>
      </c>
      <c r="P287" s="32">
        <f>Table157[[#This Row],[Principal]]+Table157[[#This Row],[Interest]]+Table157[[#This Row],[Prepayments]]+Table157[[#This Row],[RecoveredAmount]]</f>
        <v>0</v>
      </c>
      <c r="Q287" s="32">
        <f ca="1">ROUND(Table157[[#This Row],[Cash Flow]]/((1+ActualRateToUse)^(IF(ISNUMBER(SEARCH("Actual",$C$7)),Table157[[#This Row],[Running Total]]/365,Table157[[#This Row],[Period]]/12))),2)</f>
        <v>0</v>
      </c>
      <c r="R287" s="4">
        <f>IF(MONTH(Table157[[#This Row],[Date]])=2,28,DAY(DATE(YEAR(Table157[[#This Row],[Date]]),MONTH(Table157[[#This Row],[Date]])+1,1)-1))</f>
        <v>31</v>
      </c>
      <c r="S287" s="4">
        <f ca="1">SUM(OFFSET(Table157[[#Headers],[Days in month]],1,0):Table157[[#This Row],[Days in month]])</f>
        <v>8245</v>
      </c>
      <c r="T287" s="30">
        <f>InterestRate*AmortizationMultiplier*IF(ISNUMBER(SEARCH("Actual",$C$7)),Table157[[#This Row],[Days in month]]/365,1/12)</f>
        <v>2.9708333333333331E-3</v>
      </c>
    </row>
    <row r="288" spans="2:20" x14ac:dyDescent="0.2">
      <c r="B288" s="41">
        <f t="shared" si="14"/>
        <v>54117</v>
      </c>
      <c r="C288" s="4">
        <f t="shared" si="16"/>
        <v>272</v>
      </c>
      <c r="D288" s="32">
        <f t="shared" si="15"/>
        <v>0</v>
      </c>
      <c r="E288" s="32">
        <f>ROUND(Table157[[#This Row],[Beginning Balance]]*Table157[[#This Row],[Monthly Interest Rate]],2)</f>
        <v>0</v>
      </c>
      <c r="F288" s="32">
        <f t="shared" si="17"/>
        <v>-16</v>
      </c>
      <c r="G288" s="45">
        <f>IFERROR(IF($C$13="No","N/A",IF(Table157[[#This Row],[Period]]=1,$C$6,PMT(InterestRate*AmortizationMultiplier/12,Table157[[#This Row],[Am Thru]],-Table157[[#This Row],[Beginning Balance]]))),0)</f>
        <v>0</v>
      </c>
      <c r="H288" s="32">
        <f>MAX(0,IF(C288=$C$4,D288,ROUND(IF($C$3="Fixed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8" s="32">
        <f>ROUND(Table157[[#This Row],[Defaulted Principal]]*IF($C$9="No",$E$4,VLOOKUP(Table157[[#This Row],[Period]],[1]Forecast!$H$2:$L$1048576,3,FALSE)),2)</f>
        <v>0</v>
      </c>
      <c r="L288" s="4">
        <f>Table157[[#This Row],[Period]]+$E$9</f>
        <v>284</v>
      </c>
      <c r="M288" s="32">
        <f>Table157[[#This Row],[Defaulted Principal]]-Table157[[#This Row],[Estimated Loss]]</f>
        <v>0</v>
      </c>
      <c r="N288" s="32">
        <f>IFERROR(VLOOKUP(Table157[[#This Row],[Period]],$L$16:$M$385,2,FALSE),0)</f>
        <v>0</v>
      </c>
      <c r="O288" s="32">
        <f>Table157[[#This Row],[Beginning Balance]]-Table157[[#This Row],[Principal]]-Table157[[#This Row],[Prepayments]]-Table157[[#This Row],[Defaulted Principal]]</f>
        <v>0</v>
      </c>
      <c r="P288" s="32">
        <f>Table157[[#This Row],[Principal]]+Table157[[#This Row],[Interest]]+Table157[[#This Row],[Prepayments]]+Table157[[#This Row],[RecoveredAmount]]</f>
        <v>0</v>
      </c>
      <c r="Q288" s="32">
        <f ca="1">ROUND(Table157[[#This Row],[Cash Flow]]/((1+ActualRateToUse)^(IF(ISNUMBER(SEARCH("Actual",$C$7)),Table157[[#This Row],[Running Total]]/365,Table157[[#This Row],[Period]]/12))),2)</f>
        <v>0</v>
      </c>
      <c r="R288" s="4">
        <f>IF(MONTH(Table157[[#This Row],[Date]])=2,28,DAY(DATE(YEAR(Table157[[#This Row],[Date]]),MONTH(Table157[[#This Row],[Date]])+1,1)-1))</f>
        <v>28</v>
      </c>
      <c r="S288" s="4">
        <f ca="1">SUM(OFFSET(Table157[[#Headers],[Days in month]],1,0):Table157[[#This Row],[Days in month]])</f>
        <v>8273</v>
      </c>
      <c r="T288" s="30">
        <f>InterestRate*AmortizationMultiplier*IF(ISNUMBER(SEARCH("Actual",$C$7)),Table157[[#This Row],[Days in month]]/365,1/12)</f>
        <v>2.6833333333333336E-3</v>
      </c>
    </row>
    <row r="289" spans="2:20" x14ac:dyDescent="0.2">
      <c r="B289" s="41">
        <f t="shared" si="14"/>
        <v>54148</v>
      </c>
      <c r="C289" s="4">
        <f t="shared" si="16"/>
        <v>273</v>
      </c>
      <c r="D289" s="32">
        <f t="shared" si="15"/>
        <v>0</v>
      </c>
      <c r="E289" s="32">
        <f>ROUND(Table157[[#This Row],[Beginning Balance]]*Table157[[#This Row],[Monthly Interest Rate]],2)</f>
        <v>0</v>
      </c>
      <c r="F289" s="32">
        <f t="shared" si="17"/>
        <v>-17</v>
      </c>
      <c r="G289" s="45">
        <f>IFERROR(IF($C$13="No","N/A",IF(Table157[[#This Row],[Period]]=1,$C$6,PMT(InterestRate*AmortizationMultiplier/12,Table157[[#This Row],[Am Thru]],-Table157[[#This Row],[Beginning Balance]]))),0)</f>
        <v>0</v>
      </c>
      <c r="H289" s="32">
        <f>MAX(0,IF(C289=$C$4,D289,ROUND(IF($C$3="Fixed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8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8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89" s="32">
        <f>ROUND(Table157[[#This Row],[Defaulted Principal]]*IF($C$9="No",$E$4,VLOOKUP(Table157[[#This Row],[Period]],[1]Forecast!$H$2:$L$1048576,3,FALSE)),2)</f>
        <v>0</v>
      </c>
      <c r="L289" s="4">
        <f>Table157[[#This Row],[Period]]+$E$9</f>
        <v>285</v>
      </c>
      <c r="M289" s="32">
        <f>Table157[[#This Row],[Defaulted Principal]]-Table157[[#This Row],[Estimated Loss]]</f>
        <v>0</v>
      </c>
      <c r="N289" s="32">
        <f>IFERROR(VLOOKUP(Table157[[#This Row],[Period]],$L$16:$M$385,2,FALSE),0)</f>
        <v>0</v>
      </c>
      <c r="O289" s="32">
        <f>Table157[[#This Row],[Beginning Balance]]-Table157[[#This Row],[Principal]]-Table157[[#This Row],[Prepayments]]-Table157[[#This Row],[Defaulted Principal]]</f>
        <v>0</v>
      </c>
      <c r="P289" s="32">
        <f>Table157[[#This Row],[Principal]]+Table157[[#This Row],[Interest]]+Table157[[#This Row],[Prepayments]]+Table157[[#This Row],[RecoveredAmount]]</f>
        <v>0</v>
      </c>
      <c r="Q289" s="32">
        <f ca="1">ROUND(Table157[[#This Row],[Cash Flow]]/((1+ActualRateToUse)^(IF(ISNUMBER(SEARCH("Actual",$C$7)),Table157[[#This Row],[Running Total]]/365,Table157[[#This Row],[Period]]/12))),2)</f>
        <v>0</v>
      </c>
      <c r="R289" s="4">
        <f>IF(MONTH(Table157[[#This Row],[Date]])=2,28,DAY(DATE(YEAR(Table157[[#This Row],[Date]]),MONTH(Table157[[#This Row],[Date]])+1,1)-1))</f>
        <v>31</v>
      </c>
      <c r="S289" s="4">
        <f ca="1">SUM(OFFSET(Table157[[#Headers],[Days in month]],1,0):Table157[[#This Row],[Days in month]])</f>
        <v>8304</v>
      </c>
      <c r="T289" s="30">
        <f>InterestRate*AmortizationMultiplier*IF(ISNUMBER(SEARCH("Actual",$C$7)),Table157[[#This Row],[Days in month]]/365,1/12)</f>
        <v>2.9708333333333331E-3</v>
      </c>
    </row>
    <row r="290" spans="2:20" x14ac:dyDescent="0.2">
      <c r="B290" s="41">
        <f t="shared" si="14"/>
        <v>54178</v>
      </c>
      <c r="C290" s="4">
        <f t="shared" si="16"/>
        <v>274</v>
      </c>
      <c r="D290" s="32">
        <f t="shared" si="15"/>
        <v>0</v>
      </c>
      <c r="E290" s="32">
        <f>ROUND(Table157[[#This Row],[Beginning Balance]]*Table157[[#This Row],[Monthly Interest Rate]],2)</f>
        <v>0</v>
      </c>
      <c r="F290" s="32">
        <f t="shared" si="17"/>
        <v>-18</v>
      </c>
      <c r="G290" s="45">
        <f>IFERROR(IF($C$13="No","N/A",IF(Table157[[#This Row],[Period]]=1,$C$6,PMT(InterestRate*AmortizationMultiplier/12,Table157[[#This Row],[Am Thru]],-Table157[[#This Row],[Beginning Balance]]))),0)</f>
        <v>0</v>
      </c>
      <c r="H290" s="32">
        <f>MAX(0,IF(C290=$C$4,D290,ROUND(IF($C$3="Fixed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0" s="32">
        <f>ROUND(Table157[[#This Row],[Defaulted Principal]]*IF($C$9="No",$E$4,VLOOKUP(Table157[[#This Row],[Period]],[1]Forecast!$H$2:$L$1048576,3,FALSE)),2)</f>
        <v>0</v>
      </c>
      <c r="L290" s="4">
        <f>Table157[[#This Row],[Period]]+$E$9</f>
        <v>286</v>
      </c>
      <c r="M290" s="32">
        <f>Table157[[#This Row],[Defaulted Principal]]-Table157[[#This Row],[Estimated Loss]]</f>
        <v>0</v>
      </c>
      <c r="N290" s="32">
        <f>IFERROR(VLOOKUP(Table157[[#This Row],[Period]],$L$16:$M$385,2,FALSE),0)</f>
        <v>0</v>
      </c>
      <c r="O290" s="32">
        <f>Table157[[#This Row],[Beginning Balance]]-Table157[[#This Row],[Principal]]-Table157[[#This Row],[Prepayments]]-Table157[[#This Row],[Defaulted Principal]]</f>
        <v>0</v>
      </c>
      <c r="P290" s="32">
        <f>Table157[[#This Row],[Principal]]+Table157[[#This Row],[Interest]]+Table157[[#This Row],[Prepayments]]+Table157[[#This Row],[RecoveredAmount]]</f>
        <v>0</v>
      </c>
      <c r="Q290" s="32">
        <f ca="1">ROUND(Table157[[#This Row],[Cash Flow]]/((1+ActualRateToUse)^(IF(ISNUMBER(SEARCH("Actual",$C$7)),Table157[[#This Row],[Running Total]]/365,Table157[[#This Row],[Period]]/12))),2)</f>
        <v>0</v>
      </c>
      <c r="R290" s="4">
        <f>IF(MONTH(Table157[[#This Row],[Date]])=2,28,DAY(DATE(YEAR(Table157[[#This Row],[Date]]),MONTH(Table157[[#This Row],[Date]])+1,1)-1))</f>
        <v>30</v>
      </c>
      <c r="S290" s="4">
        <f ca="1">SUM(OFFSET(Table157[[#Headers],[Days in month]],1,0):Table157[[#This Row],[Days in month]])</f>
        <v>8334</v>
      </c>
      <c r="T290" s="30">
        <f>InterestRate*AmortizationMultiplier*IF(ISNUMBER(SEARCH("Actual",$C$7)),Table157[[#This Row],[Days in month]]/365,1/12)</f>
        <v>2.8749999999999995E-3</v>
      </c>
    </row>
    <row r="291" spans="2:20" x14ac:dyDescent="0.2">
      <c r="B291" s="41">
        <f t="shared" si="14"/>
        <v>54209</v>
      </c>
      <c r="C291" s="4">
        <f t="shared" si="16"/>
        <v>275</v>
      </c>
      <c r="D291" s="32">
        <f t="shared" si="15"/>
        <v>0</v>
      </c>
      <c r="E291" s="32">
        <f>ROUND(Table157[[#This Row],[Beginning Balance]]*Table157[[#This Row],[Monthly Interest Rate]],2)</f>
        <v>0</v>
      </c>
      <c r="F291" s="32">
        <f t="shared" si="17"/>
        <v>-19</v>
      </c>
      <c r="G291" s="45">
        <f>IFERROR(IF($C$13="No","N/A",IF(Table157[[#This Row],[Period]]=1,$C$6,PMT(InterestRate*AmortizationMultiplier/12,Table157[[#This Row],[Am Thru]],-Table157[[#This Row],[Beginning Balance]]))),0)</f>
        <v>0</v>
      </c>
      <c r="H291" s="32">
        <f>MAX(0,IF(C291=$C$4,D291,ROUND(IF($C$3="Fixed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1" s="32">
        <f>ROUND(Table157[[#This Row],[Defaulted Principal]]*IF($C$9="No",$E$4,VLOOKUP(Table157[[#This Row],[Period]],[1]Forecast!$H$2:$L$1048576,3,FALSE)),2)</f>
        <v>0</v>
      </c>
      <c r="L291" s="4">
        <f>Table157[[#This Row],[Period]]+$E$9</f>
        <v>287</v>
      </c>
      <c r="M291" s="32">
        <f>Table157[[#This Row],[Defaulted Principal]]-Table157[[#This Row],[Estimated Loss]]</f>
        <v>0</v>
      </c>
      <c r="N291" s="32">
        <f>IFERROR(VLOOKUP(Table157[[#This Row],[Period]],$L$16:$M$385,2,FALSE),0)</f>
        <v>0</v>
      </c>
      <c r="O291" s="32">
        <f>Table157[[#This Row],[Beginning Balance]]-Table157[[#This Row],[Principal]]-Table157[[#This Row],[Prepayments]]-Table157[[#This Row],[Defaulted Principal]]</f>
        <v>0</v>
      </c>
      <c r="P291" s="32">
        <f>Table157[[#This Row],[Principal]]+Table157[[#This Row],[Interest]]+Table157[[#This Row],[Prepayments]]+Table157[[#This Row],[RecoveredAmount]]</f>
        <v>0</v>
      </c>
      <c r="Q291" s="32">
        <f ca="1">ROUND(Table157[[#This Row],[Cash Flow]]/((1+ActualRateToUse)^(IF(ISNUMBER(SEARCH("Actual",$C$7)),Table157[[#This Row],[Running Total]]/365,Table157[[#This Row],[Period]]/12))),2)</f>
        <v>0</v>
      </c>
      <c r="R291" s="4">
        <f>IF(MONTH(Table157[[#This Row],[Date]])=2,28,DAY(DATE(YEAR(Table157[[#This Row],[Date]]),MONTH(Table157[[#This Row],[Date]])+1,1)-1))</f>
        <v>31</v>
      </c>
      <c r="S291" s="4">
        <f ca="1">SUM(OFFSET(Table157[[#Headers],[Days in month]],1,0):Table157[[#This Row],[Days in month]])</f>
        <v>8365</v>
      </c>
      <c r="T291" s="30">
        <f>InterestRate*AmortizationMultiplier*IF(ISNUMBER(SEARCH("Actual",$C$7)),Table157[[#This Row],[Days in month]]/365,1/12)</f>
        <v>2.9708333333333331E-3</v>
      </c>
    </row>
    <row r="292" spans="2:20" x14ac:dyDescent="0.2">
      <c r="B292" s="41">
        <f t="shared" si="14"/>
        <v>54239</v>
      </c>
      <c r="C292" s="4">
        <f t="shared" si="16"/>
        <v>276</v>
      </c>
      <c r="D292" s="32">
        <f t="shared" si="15"/>
        <v>0</v>
      </c>
      <c r="E292" s="32">
        <f>ROUND(Table157[[#This Row],[Beginning Balance]]*Table157[[#This Row],[Monthly Interest Rate]],2)</f>
        <v>0</v>
      </c>
      <c r="F292" s="32">
        <f t="shared" si="17"/>
        <v>-20</v>
      </c>
      <c r="G292" s="45">
        <f>IFERROR(IF($C$13="No","N/A",IF(Table157[[#This Row],[Period]]=1,$C$6,PMT(InterestRate*AmortizationMultiplier/12,Table157[[#This Row],[Am Thru]],-Table157[[#This Row],[Beginning Balance]]))),0)</f>
        <v>0</v>
      </c>
      <c r="H292" s="32">
        <f>MAX(0,IF(C292=$C$4,D292,ROUND(IF($C$3="Fixed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2" s="32">
        <f>ROUND(Table157[[#This Row],[Defaulted Principal]]*IF($C$9="No",$E$4,VLOOKUP(Table157[[#This Row],[Period]],[1]Forecast!$H$2:$L$1048576,3,FALSE)),2)</f>
        <v>0</v>
      </c>
      <c r="L292" s="4">
        <f>Table157[[#This Row],[Period]]+$E$9</f>
        <v>288</v>
      </c>
      <c r="M292" s="32">
        <f>Table157[[#This Row],[Defaulted Principal]]-Table157[[#This Row],[Estimated Loss]]</f>
        <v>0</v>
      </c>
      <c r="N292" s="32">
        <f>IFERROR(VLOOKUP(Table157[[#This Row],[Period]],$L$16:$M$385,2,FALSE),0)</f>
        <v>0</v>
      </c>
      <c r="O292" s="32">
        <f>Table157[[#This Row],[Beginning Balance]]-Table157[[#This Row],[Principal]]-Table157[[#This Row],[Prepayments]]-Table157[[#This Row],[Defaulted Principal]]</f>
        <v>0</v>
      </c>
      <c r="P292" s="32">
        <f>Table157[[#This Row],[Principal]]+Table157[[#This Row],[Interest]]+Table157[[#This Row],[Prepayments]]+Table157[[#This Row],[RecoveredAmount]]</f>
        <v>0</v>
      </c>
      <c r="Q292" s="32">
        <f ca="1">ROUND(Table157[[#This Row],[Cash Flow]]/((1+ActualRateToUse)^(IF(ISNUMBER(SEARCH("Actual",$C$7)),Table157[[#This Row],[Running Total]]/365,Table157[[#This Row],[Period]]/12))),2)</f>
        <v>0</v>
      </c>
      <c r="R292" s="4">
        <f>IF(MONTH(Table157[[#This Row],[Date]])=2,28,DAY(DATE(YEAR(Table157[[#This Row],[Date]]),MONTH(Table157[[#This Row],[Date]])+1,1)-1))</f>
        <v>30</v>
      </c>
      <c r="S292" s="4">
        <f ca="1">SUM(OFFSET(Table157[[#Headers],[Days in month]],1,0):Table157[[#This Row],[Days in month]])</f>
        <v>8395</v>
      </c>
      <c r="T292" s="30">
        <f>InterestRate*AmortizationMultiplier*IF(ISNUMBER(SEARCH("Actual",$C$7)),Table157[[#This Row],[Days in month]]/365,1/12)</f>
        <v>2.8749999999999995E-3</v>
      </c>
    </row>
    <row r="293" spans="2:20" x14ac:dyDescent="0.2">
      <c r="B293" s="41">
        <f t="shared" si="14"/>
        <v>54270</v>
      </c>
      <c r="C293" s="4">
        <f t="shared" si="16"/>
        <v>277</v>
      </c>
      <c r="D293" s="32">
        <f t="shared" si="15"/>
        <v>0</v>
      </c>
      <c r="E293" s="32">
        <f>ROUND(Table157[[#This Row],[Beginning Balance]]*Table157[[#This Row],[Monthly Interest Rate]],2)</f>
        <v>0</v>
      </c>
      <c r="F293" s="32">
        <f t="shared" si="17"/>
        <v>-21</v>
      </c>
      <c r="G293" s="45">
        <f>IFERROR(IF($C$13="No","N/A",IF(Table157[[#This Row],[Period]]=1,$C$6,PMT(InterestRate*AmortizationMultiplier/12,Table157[[#This Row],[Am Thru]],-Table157[[#This Row],[Beginning Balance]]))),0)</f>
        <v>0</v>
      </c>
      <c r="H293" s="32">
        <f>MAX(0,IF(C293=$C$4,D293,ROUND(IF($C$3="Fixed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3" s="32">
        <f>ROUND(Table157[[#This Row],[Defaulted Principal]]*IF($C$9="No",$E$4,VLOOKUP(Table157[[#This Row],[Period]],[1]Forecast!$H$2:$L$1048576,3,FALSE)),2)</f>
        <v>0</v>
      </c>
      <c r="L293" s="4">
        <f>Table157[[#This Row],[Period]]+$E$9</f>
        <v>289</v>
      </c>
      <c r="M293" s="32">
        <f>Table157[[#This Row],[Defaulted Principal]]-Table157[[#This Row],[Estimated Loss]]</f>
        <v>0</v>
      </c>
      <c r="N293" s="32">
        <f>IFERROR(VLOOKUP(Table157[[#This Row],[Period]],$L$16:$M$385,2,FALSE),0)</f>
        <v>0</v>
      </c>
      <c r="O293" s="32">
        <f>Table157[[#This Row],[Beginning Balance]]-Table157[[#This Row],[Principal]]-Table157[[#This Row],[Prepayments]]-Table157[[#This Row],[Defaulted Principal]]</f>
        <v>0</v>
      </c>
      <c r="P293" s="32">
        <f>Table157[[#This Row],[Principal]]+Table157[[#This Row],[Interest]]+Table157[[#This Row],[Prepayments]]+Table157[[#This Row],[RecoveredAmount]]</f>
        <v>0</v>
      </c>
      <c r="Q293" s="32">
        <f ca="1">ROUND(Table157[[#This Row],[Cash Flow]]/((1+ActualRateToUse)^(IF(ISNUMBER(SEARCH("Actual",$C$7)),Table157[[#This Row],[Running Total]]/365,Table157[[#This Row],[Period]]/12))),2)</f>
        <v>0</v>
      </c>
      <c r="R293" s="4">
        <f>IF(MONTH(Table157[[#This Row],[Date]])=2,28,DAY(DATE(YEAR(Table157[[#This Row],[Date]]),MONTH(Table157[[#This Row],[Date]])+1,1)-1))</f>
        <v>31</v>
      </c>
      <c r="S293" s="4">
        <f ca="1">SUM(OFFSET(Table157[[#Headers],[Days in month]],1,0):Table157[[#This Row],[Days in month]])</f>
        <v>8426</v>
      </c>
      <c r="T293" s="30">
        <f>InterestRate*AmortizationMultiplier*IF(ISNUMBER(SEARCH("Actual",$C$7)),Table157[[#This Row],[Days in month]]/365,1/12)</f>
        <v>2.9708333333333331E-3</v>
      </c>
    </row>
    <row r="294" spans="2:20" x14ac:dyDescent="0.2">
      <c r="B294" s="41">
        <f t="shared" si="14"/>
        <v>54301</v>
      </c>
      <c r="C294" s="4">
        <f t="shared" si="16"/>
        <v>278</v>
      </c>
      <c r="D294" s="32">
        <f t="shared" si="15"/>
        <v>0</v>
      </c>
      <c r="E294" s="32">
        <f>ROUND(Table157[[#This Row],[Beginning Balance]]*Table157[[#This Row],[Monthly Interest Rate]],2)</f>
        <v>0</v>
      </c>
      <c r="F294" s="32">
        <f t="shared" si="17"/>
        <v>-22</v>
      </c>
      <c r="G294" s="45">
        <f>IFERROR(IF($C$13="No","N/A",IF(Table157[[#This Row],[Period]]=1,$C$6,PMT(InterestRate*AmortizationMultiplier/12,Table157[[#This Row],[Am Thru]],-Table157[[#This Row],[Beginning Balance]]))),0)</f>
        <v>0</v>
      </c>
      <c r="H294" s="32">
        <f>MAX(0,IF(C294=$C$4,D294,ROUND(IF($C$3="Fixed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4" s="32">
        <f>ROUND(Table157[[#This Row],[Defaulted Principal]]*IF($C$9="No",$E$4,VLOOKUP(Table157[[#This Row],[Period]],[1]Forecast!$H$2:$L$1048576,3,FALSE)),2)</f>
        <v>0</v>
      </c>
      <c r="L294" s="4">
        <f>Table157[[#This Row],[Period]]+$E$9</f>
        <v>290</v>
      </c>
      <c r="M294" s="32">
        <f>Table157[[#This Row],[Defaulted Principal]]-Table157[[#This Row],[Estimated Loss]]</f>
        <v>0</v>
      </c>
      <c r="N294" s="32">
        <f>IFERROR(VLOOKUP(Table157[[#This Row],[Period]],$L$16:$M$385,2,FALSE),0)</f>
        <v>0</v>
      </c>
      <c r="O294" s="32">
        <f>Table157[[#This Row],[Beginning Balance]]-Table157[[#This Row],[Principal]]-Table157[[#This Row],[Prepayments]]-Table157[[#This Row],[Defaulted Principal]]</f>
        <v>0</v>
      </c>
      <c r="P294" s="32">
        <f>Table157[[#This Row],[Principal]]+Table157[[#This Row],[Interest]]+Table157[[#This Row],[Prepayments]]+Table157[[#This Row],[RecoveredAmount]]</f>
        <v>0</v>
      </c>
      <c r="Q294" s="32">
        <f ca="1">ROUND(Table157[[#This Row],[Cash Flow]]/((1+ActualRateToUse)^(IF(ISNUMBER(SEARCH("Actual",$C$7)),Table157[[#This Row],[Running Total]]/365,Table157[[#This Row],[Period]]/12))),2)</f>
        <v>0</v>
      </c>
      <c r="R294" s="4">
        <f>IF(MONTH(Table157[[#This Row],[Date]])=2,28,DAY(DATE(YEAR(Table157[[#This Row],[Date]]),MONTH(Table157[[#This Row],[Date]])+1,1)-1))</f>
        <v>31</v>
      </c>
      <c r="S294" s="4">
        <f ca="1">SUM(OFFSET(Table157[[#Headers],[Days in month]],1,0):Table157[[#This Row],[Days in month]])</f>
        <v>8457</v>
      </c>
      <c r="T294" s="30">
        <f>InterestRate*AmortizationMultiplier*IF(ISNUMBER(SEARCH("Actual",$C$7)),Table157[[#This Row],[Days in month]]/365,1/12)</f>
        <v>2.9708333333333331E-3</v>
      </c>
    </row>
    <row r="295" spans="2:20" x14ac:dyDescent="0.2">
      <c r="B295" s="41">
        <f t="shared" si="14"/>
        <v>54331</v>
      </c>
      <c r="C295" s="4">
        <f t="shared" si="16"/>
        <v>279</v>
      </c>
      <c r="D295" s="32">
        <f t="shared" si="15"/>
        <v>0</v>
      </c>
      <c r="E295" s="32">
        <f>ROUND(Table157[[#This Row],[Beginning Balance]]*Table157[[#This Row],[Monthly Interest Rate]],2)</f>
        <v>0</v>
      </c>
      <c r="F295" s="32">
        <f t="shared" si="17"/>
        <v>-23</v>
      </c>
      <c r="G295" s="45">
        <f>IFERROR(IF($C$13="No","N/A",IF(Table157[[#This Row],[Period]]=1,$C$6,PMT(InterestRate*AmortizationMultiplier/12,Table157[[#This Row],[Am Thru]],-Table157[[#This Row],[Beginning Balance]]))),0)</f>
        <v>0</v>
      </c>
      <c r="H295" s="32">
        <f>MAX(0,IF(C295=$C$4,D295,ROUND(IF($C$3="Fixed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5" s="32">
        <f>ROUND(Table157[[#This Row],[Defaulted Principal]]*IF($C$9="No",$E$4,VLOOKUP(Table157[[#This Row],[Period]],[1]Forecast!$H$2:$L$1048576,3,FALSE)),2)</f>
        <v>0</v>
      </c>
      <c r="L295" s="4">
        <f>Table157[[#This Row],[Period]]+$E$9</f>
        <v>291</v>
      </c>
      <c r="M295" s="32">
        <f>Table157[[#This Row],[Defaulted Principal]]-Table157[[#This Row],[Estimated Loss]]</f>
        <v>0</v>
      </c>
      <c r="N295" s="32">
        <f>IFERROR(VLOOKUP(Table157[[#This Row],[Period]],$L$16:$M$385,2,FALSE),0)</f>
        <v>0</v>
      </c>
      <c r="O295" s="32">
        <f>Table157[[#This Row],[Beginning Balance]]-Table157[[#This Row],[Principal]]-Table157[[#This Row],[Prepayments]]-Table157[[#This Row],[Defaulted Principal]]</f>
        <v>0</v>
      </c>
      <c r="P295" s="32">
        <f>Table157[[#This Row],[Principal]]+Table157[[#This Row],[Interest]]+Table157[[#This Row],[Prepayments]]+Table157[[#This Row],[RecoveredAmount]]</f>
        <v>0</v>
      </c>
      <c r="Q295" s="32">
        <f ca="1">ROUND(Table157[[#This Row],[Cash Flow]]/((1+ActualRateToUse)^(IF(ISNUMBER(SEARCH("Actual",$C$7)),Table157[[#This Row],[Running Total]]/365,Table157[[#This Row],[Period]]/12))),2)</f>
        <v>0</v>
      </c>
      <c r="R295" s="4">
        <f>IF(MONTH(Table157[[#This Row],[Date]])=2,28,DAY(DATE(YEAR(Table157[[#This Row],[Date]]),MONTH(Table157[[#This Row],[Date]])+1,1)-1))</f>
        <v>30</v>
      </c>
      <c r="S295" s="4">
        <f ca="1">SUM(OFFSET(Table157[[#Headers],[Days in month]],1,0):Table157[[#This Row],[Days in month]])</f>
        <v>8487</v>
      </c>
      <c r="T295" s="30">
        <f>InterestRate*AmortizationMultiplier*IF(ISNUMBER(SEARCH("Actual",$C$7)),Table157[[#This Row],[Days in month]]/365,1/12)</f>
        <v>2.8749999999999995E-3</v>
      </c>
    </row>
    <row r="296" spans="2:20" x14ac:dyDescent="0.2">
      <c r="B296" s="41">
        <f t="shared" si="14"/>
        <v>54362</v>
      </c>
      <c r="C296" s="4">
        <f t="shared" si="16"/>
        <v>280</v>
      </c>
      <c r="D296" s="32">
        <f t="shared" si="15"/>
        <v>0</v>
      </c>
      <c r="E296" s="32">
        <f>ROUND(Table157[[#This Row],[Beginning Balance]]*Table157[[#This Row],[Monthly Interest Rate]],2)</f>
        <v>0</v>
      </c>
      <c r="F296" s="32">
        <f t="shared" si="17"/>
        <v>-24</v>
      </c>
      <c r="G296" s="45">
        <f>IFERROR(IF($C$13="No","N/A",IF(Table157[[#This Row],[Period]]=1,$C$6,PMT(InterestRate*AmortizationMultiplier/12,Table157[[#This Row],[Am Thru]],-Table157[[#This Row],[Beginning Balance]]))),0)</f>
        <v>0</v>
      </c>
      <c r="H296" s="32">
        <f>MAX(0,IF(C296=$C$4,D296,ROUND(IF($C$3="Fixed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6" s="32">
        <f>ROUND(Table157[[#This Row],[Defaulted Principal]]*IF($C$9="No",$E$4,VLOOKUP(Table157[[#This Row],[Period]],[1]Forecast!$H$2:$L$1048576,3,FALSE)),2)</f>
        <v>0</v>
      </c>
      <c r="L296" s="4">
        <f>Table157[[#This Row],[Period]]+$E$9</f>
        <v>292</v>
      </c>
      <c r="M296" s="32">
        <f>Table157[[#This Row],[Defaulted Principal]]-Table157[[#This Row],[Estimated Loss]]</f>
        <v>0</v>
      </c>
      <c r="N296" s="32">
        <f>IFERROR(VLOOKUP(Table157[[#This Row],[Period]],$L$16:$M$385,2,FALSE),0)</f>
        <v>0</v>
      </c>
      <c r="O296" s="32">
        <f>Table157[[#This Row],[Beginning Balance]]-Table157[[#This Row],[Principal]]-Table157[[#This Row],[Prepayments]]-Table157[[#This Row],[Defaulted Principal]]</f>
        <v>0</v>
      </c>
      <c r="P296" s="32">
        <f>Table157[[#This Row],[Principal]]+Table157[[#This Row],[Interest]]+Table157[[#This Row],[Prepayments]]+Table157[[#This Row],[RecoveredAmount]]</f>
        <v>0</v>
      </c>
      <c r="Q296" s="32">
        <f ca="1">ROUND(Table157[[#This Row],[Cash Flow]]/((1+ActualRateToUse)^(IF(ISNUMBER(SEARCH("Actual",$C$7)),Table157[[#This Row],[Running Total]]/365,Table157[[#This Row],[Period]]/12))),2)</f>
        <v>0</v>
      </c>
      <c r="R296" s="4">
        <f>IF(MONTH(Table157[[#This Row],[Date]])=2,28,DAY(DATE(YEAR(Table157[[#This Row],[Date]]),MONTH(Table157[[#This Row],[Date]])+1,1)-1))</f>
        <v>31</v>
      </c>
      <c r="S296" s="4">
        <f ca="1">SUM(OFFSET(Table157[[#Headers],[Days in month]],1,0):Table157[[#This Row],[Days in month]])</f>
        <v>8518</v>
      </c>
      <c r="T296" s="30">
        <f>InterestRate*AmortizationMultiplier*IF(ISNUMBER(SEARCH("Actual",$C$7)),Table157[[#This Row],[Days in month]]/365,1/12)</f>
        <v>2.9708333333333331E-3</v>
      </c>
    </row>
    <row r="297" spans="2:20" x14ac:dyDescent="0.2">
      <c r="B297" s="41">
        <f t="shared" si="14"/>
        <v>54392</v>
      </c>
      <c r="C297" s="4">
        <f t="shared" si="16"/>
        <v>281</v>
      </c>
      <c r="D297" s="32">
        <f t="shared" si="15"/>
        <v>0</v>
      </c>
      <c r="E297" s="32">
        <f>ROUND(Table157[[#This Row],[Beginning Balance]]*Table157[[#This Row],[Monthly Interest Rate]],2)</f>
        <v>0</v>
      </c>
      <c r="F297" s="32">
        <f t="shared" si="17"/>
        <v>-25</v>
      </c>
      <c r="G297" s="45">
        <f>IFERROR(IF($C$13="No","N/A",IF(Table157[[#This Row],[Period]]=1,$C$6,PMT(InterestRate*AmortizationMultiplier/12,Table157[[#This Row],[Am Thru]],-Table157[[#This Row],[Beginning Balance]]))),0)</f>
        <v>0</v>
      </c>
      <c r="H297" s="32">
        <f>MAX(0,IF(C297=$C$4,D297,ROUND(IF($C$3="Fixed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7" s="32">
        <f>ROUND(Table157[[#This Row],[Defaulted Principal]]*IF($C$9="No",$E$4,VLOOKUP(Table157[[#This Row],[Period]],[1]Forecast!$H$2:$L$1048576,3,FALSE)),2)</f>
        <v>0</v>
      </c>
      <c r="L297" s="4">
        <f>Table157[[#This Row],[Period]]+$E$9</f>
        <v>293</v>
      </c>
      <c r="M297" s="32">
        <f>Table157[[#This Row],[Defaulted Principal]]-Table157[[#This Row],[Estimated Loss]]</f>
        <v>0</v>
      </c>
      <c r="N297" s="32">
        <f>IFERROR(VLOOKUP(Table157[[#This Row],[Period]],$L$16:$M$385,2,FALSE),0)</f>
        <v>0</v>
      </c>
      <c r="O297" s="32">
        <f>Table157[[#This Row],[Beginning Balance]]-Table157[[#This Row],[Principal]]-Table157[[#This Row],[Prepayments]]-Table157[[#This Row],[Defaulted Principal]]</f>
        <v>0</v>
      </c>
      <c r="P297" s="32">
        <f>Table157[[#This Row],[Principal]]+Table157[[#This Row],[Interest]]+Table157[[#This Row],[Prepayments]]+Table157[[#This Row],[RecoveredAmount]]</f>
        <v>0</v>
      </c>
      <c r="Q297" s="32">
        <f ca="1">ROUND(Table157[[#This Row],[Cash Flow]]/((1+ActualRateToUse)^(IF(ISNUMBER(SEARCH("Actual",$C$7)),Table157[[#This Row],[Running Total]]/365,Table157[[#This Row],[Period]]/12))),2)</f>
        <v>0</v>
      </c>
      <c r="R297" s="4">
        <f>IF(MONTH(Table157[[#This Row],[Date]])=2,28,DAY(DATE(YEAR(Table157[[#This Row],[Date]]),MONTH(Table157[[#This Row],[Date]])+1,1)-1))</f>
        <v>30</v>
      </c>
      <c r="S297" s="4">
        <f ca="1">SUM(OFFSET(Table157[[#Headers],[Days in month]],1,0):Table157[[#This Row],[Days in month]])</f>
        <v>8548</v>
      </c>
      <c r="T297" s="30">
        <f>InterestRate*AmortizationMultiplier*IF(ISNUMBER(SEARCH("Actual",$C$7)),Table157[[#This Row],[Days in month]]/365,1/12)</f>
        <v>2.8749999999999995E-3</v>
      </c>
    </row>
    <row r="298" spans="2:20" x14ac:dyDescent="0.2">
      <c r="B298" s="41">
        <f t="shared" si="14"/>
        <v>54423</v>
      </c>
      <c r="C298" s="4">
        <f t="shared" si="16"/>
        <v>282</v>
      </c>
      <c r="D298" s="32">
        <f t="shared" si="15"/>
        <v>0</v>
      </c>
      <c r="E298" s="32">
        <f>ROUND(Table157[[#This Row],[Beginning Balance]]*Table157[[#This Row],[Monthly Interest Rate]],2)</f>
        <v>0</v>
      </c>
      <c r="F298" s="32">
        <f t="shared" si="17"/>
        <v>-26</v>
      </c>
      <c r="G298" s="45">
        <f>IFERROR(IF($C$13="No","N/A",IF(Table157[[#This Row],[Period]]=1,$C$6,PMT(InterestRate*AmortizationMultiplier/12,Table157[[#This Row],[Am Thru]],-Table157[[#This Row],[Beginning Balance]]))),0)</f>
        <v>0</v>
      </c>
      <c r="H298" s="32">
        <f>MAX(0,IF(C298=$C$4,D298,ROUND(IF($C$3="Fixed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8" s="32">
        <f>ROUND(Table157[[#This Row],[Defaulted Principal]]*IF($C$9="No",$E$4,VLOOKUP(Table157[[#This Row],[Period]],[1]Forecast!$H$2:$L$1048576,3,FALSE)),2)</f>
        <v>0</v>
      </c>
      <c r="L298" s="4">
        <f>Table157[[#This Row],[Period]]+$E$9</f>
        <v>294</v>
      </c>
      <c r="M298" s="32">
        <f>Table157[[#This Row],[Defaulted Principal]]-Table157[[#This Row],[Estimated Loss]]</f>
        <v>0</v>
      </c>
      <c r="N298" s="32">
        <f>IFERROR(VLOOKUP(Table157[[#This Row],[Period]],$L$16:$M$385,2,FALSE),0)</f>
        <v>0</v>
      </c>
      <c r="O298" s="32">
        <f>Table157[[#This Row],[Beginning Balance]]-Table157[[#This Row],[Principal]]-Table157[[#This Row],[Prepayments]]-Table157[[#This Row],[Defaulted Principal]]</f>
        <v>0</v>
      </c>
      <c r="P298" s="32">
        <f>Table157[[#This Row],[Principal]]+Table157[[#This Row],[Interest]]+Table157[[#This Row],[Prepayments]]+Table157[[#This Row],[RecoveredAmount]]</f>
        <v>0</v>
      </c>
      <c r="Q298" s="32">
        <f ca="1">ROUND(Table157[[#This Row],[Cash Flow]]/((1+ActualRateToUse)^(IF(ISNUMBER(SEARCH("Actual",$C$7)),Table157[[#This Row],[Running Total]]/365,Table157[[#This Row],[Period]]/12))),2)</f>
        <v>0</v>
      </c>
      <c r="R298" s="4">
        <f>IF(MONTH(Table157[[#This Row],[Date]])=2,28,DAY(DATE(YEAR(Table157[[#This Row],[Date]]),MONTH(Table157[[#This Row],[Date]])+1,1)-1))</f>
        <v>31</v>
      </c>
      <c r="S298" s="4">
        <f ca="1">SUM(OFFSET(Table157[[#Headers],[Days in month]],1,0):Table157[[#This Row],[Days in month]])</f>
        <v>8579</v>
      </c>
      <c r="T298" s="30">
        <f>InterestRate*AmortizationMultiplier*IF(ISNUMBER(SEARCH("Actual",$C$7)),Table157[[#This Row],[Days in month]]/365,1/12)</f>
        <v>2.9708333333333331E-3</v>
      </c>
    </row>
    <row r="299" spans="2:20" x14ac:dyDescent="0.2">
      <c r="B299" s="41">
        <f t="shared" si="14"/>
        <v>54454</v>
      </c>
      <c r="C299" s="4">
        <f t="shared" si="16"/>
        <v>283</v>
      </c>
      <c r="D299" s="32">
        <f t="shared" si="15"/>
        <v>0</v>
      </c>
      <c r="E299" s="32">
        <f>ROUND(Table157[[#This Row],[Beginning Balance]]*Table157[[#This Row],[Monthly Interest Rate]],2)</f>
        <v>0</v>
      </c>
      <c r="F299" s="32">
        <f t="shared" si="17"/>
        <v>-27</v>
      </c>
      <c r="G299" s="45">
        <f>IFERROR(IF($C$13="No","N/A",IF(Table157[[#This Row],[Period]]=1,$C$6,PMT(InterestRate*AmortizationMultiplier/12,Table157[[#This Row],[Am Thru]],-Table157[[#This Row],[Beginning Balance]]))),0)</f>
        <v>0</v>
      </c>
      <c r="H299" s="32">
        <f>MAX(0,IF(C299=$C$4,D299,ROUND(IF($C$3="Fixed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29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29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299" s="32">
        <f>ROUND(Table157[[#This Row],[Defaulted Principal]]*IF($C$9="No",$E$4,VLOOKUP(Table157[[#This Row],[Period]],[1]Forecast!$H$2:$L$1048576,3,FALSE)),2)</f>
        <v>0</v>
      </c>
      <c r="L299" s="4">
        <f>Table157[[#This Row],[Period]]+$E$9</f>
        <v>295</v>
      </c>
      <c r="M299" s="32">
        <f>Table157[[#This Row],[Defaulted Principal]]-Table157[[#This Row],[Estimated Loss]]</f>
        <v>0</v>
      </c>
      <c r="N299" s="32">
        <f>IFERROR(VLOOKUP(Table157[[#This Row],[Period]],$L$16:$M$385,2,FALSE),0)</f>
        <v>0</v>
      </c>
      <c r="O299" s="32">
        <f>Table157[[#This Row],[Beginning Balance]]-Table157[[#This Row],[Principal]]-Table157[[#This Row],[Prepayments]]-Table157[[#This Row],[Defaulted Principal]]</f>
        <v>0</v>
      </c>
      <c r="P299" s="32">
        <f>Table157[[#This Row],[Principal]]+Table157[[#This Row],[Interest]]+Table157[[#This Row],[Prepayments]]+Table157[[#This Row],[RecoveredAmount]]</f>
        <v>0</v>
      </c>
      <c r="Q299" s="32">
        <f ca="1">ROUND(Table157[[#This Row],[Cash Flow]]/((1+ActualRateToUse)^(IF(ISNUMBER(SEARCH("Actual",$C$7)),Table157[[#This Row],[Running Total]]/365,Table157[[#This Row],[Period]]/12))),2)</f>
        <v>0</v>
      </c>
      <c r="R299" s="4">
        <f>IF(MONTH(Table157[[#This Row],[Date]])=2,28,DAY(DATE(YEAR(Table157[[#This Row],[Date]]),MONTH(Table157[[#This Row],[Date]])+1,1)-1))</f>
        <v>31</v>
      </c>
      <c r="S299" s="4">
        <f ca="1">SUM(OFFSET(Table157[[#Headers],[Days in month]],1,0):Table157[[#This Row],[Days in month]])</f>
        <v>8610</v>
      </c>
      <c r="T299" s="30">
        <f>InterestRate*AmortizationMultiplier*IF(ISNUMBER(SEARCH("Actual",$C$7)),Table157[[#This Row],[Days in month]]/365,1/12)</f>
        <v>2.9708333333333331E-3</v>
      </c>
    </row>
    <row r="300" spans="2:20" x14ac:dyDescent="0.2">
      <c r="B300" s="41">
        <f t="shared" si="14"/>
        <v>54482</v>
      </c>
      <c r="C300" s="4">
        <f t="shared" si="16"/>
        <v>284</v>
      </c>
      <c r="D300" s="32">
        <f t="shared" si="15"/>
        <v>0</v>
      </c>
      <c r="E300" s="32">
        <f>ROUND(Table157[[#This Row],[Beginning Balance]]*Table157[[#This Row],[Monthly Interest Rate]],2)</f>
        <v>0</v>
      </c>
      <c r="F300" s="32">
        <f t="shared" si="17"/>
        <v>-28</v>
      </c>
      <c r="G300" s="45">
        <f>IFERROR(IF($C$13="No","N/A",IF(Table157[[#This Row],[Period]]=1,$C$6,PMT(InterestRate*AmortizationMultiplier/12,Table157[[#This Row],[Am Thru]],-Table157[[#This Row],[Beginning Balance]]))),0)</f>
        <v>0</v>
      </c>
      <c r="H300" s="32">
        <f>MAX(0,IF(C300=$C$4,D300,ROUND(IF($C$3="Fixed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0" s="32">
        <f>ROUND(Table157[[#This Row],[Defaulted Principal]]*IF($C$9="No",$E$4,VLOOKUP(Table157[[#This Row],[Period]],[1]Forecast!$H$2:$L$1048576,3,FALSE)),2)</f>
        <v>0</v>
      </c>
      <c r="L300" s="4">
        <f>Table157[[#This Row],[Period]]+$E$9</f>
        <v>296</v>
      </c>
      <c r="M300" s="32">
        <f>Table157[[#This Row],[Defaulted Principal]]-Table157[[#This Row],[Estimated Loss]]</f>
        <v>0</v>
      </c>
      <c r="N300" s="32">
        <f>IFERROR(VLOOKUP(Table157[[#This Row],[Period]],$L$16:$M$385,2,FALSE),0)</f>
        <v>0</v>
      </c>
      <c r="O300" s="32">
        <f>Table157[[#This Row],[Beginning Balance]]-Table157[[#This Row],[Principal]]-Table157[[#This Row],[Prepayments]]-Table157[[#This Row],[Defaulted Principal]]</f>
        <v>0</v>
      </c>
      <c r="P300" s="32">
        <f>Table157[[#This Row],[Principal]]+Table157[[#This Row],[Interest]]+Table157[[#This Row],[Prepayments]]+Table157[[#This Row],[RecoveredAmount]]</f>
        <v>0</v>
      </c>
      <c r="Q300" s="32">
        <f ca="1">ROUND(Table157[[#This Row],[Cash Flow]]/((1+ActualRateToUse)^(IF(ISNUMBER(SEARCH("Actual",$C$7)),Table157[[#This Row],[Running Total]]/365,Table157[[#This Row],[Period]]/12))),2)</f>
        <v>0</v>
      </c>
      <c r="R300" s="4">
        <f>IF(MONTH(Table157[[#This Row],[Date]])=2,28,DAY(DATE(YEAR(Table157[[#This Row],[Date]]),MONTH(Table157[[#This Row],[Date]])+1,1)-1))</f>
        <v>28</v>
      </c>
      <c r="S300" s="4">
        <f ca="1">SUM(OFFSET(Table157[[#Headers],[Days in month]],1,0):Table157[[#This Row],[Days in month]])</f>
        <v>8638</v>
      </c>
      <c r="T300" s="30">
        <f>InterestRate*AmortizationMultiplier*IF(ISNUMBER(SEARCH("Actual",$C$7)),Table157[[#This Row],[Days in month]]/365,1/12)</f>
        <v>2.6833333333333336E-3</v>
      </c>
    </row>
    <row r="301" spans="2:20" x14ac:dyDescent="0.2">
      <c r="B301" s="41">
        <f t="shared" si="14"/>
        <v>54513</v>
      </c>
      <c r="C301" s="4">
        <f t="shared" si="16"/>
        <v>285</v>
      </c>
      <c r="D301" s="32">
        <f t="shared" si="15"/>
        <v>0</v>
      </c>
      <c r="E301" s="32">
        <f>ROUND(Table157[[#This Row],[Beginning Balance]]*Table157[[#This Row],[Monthly Interest Rate]],2)</f>
        <v>0</v>
      </c>
      <c r="F301" s="32">
        <f t="shared" si="17"/>
        <v>-29</v>
      </c>
      <c r="G301" s="45">
        <f>IFERROR(IF($C$13="No","N/A",IF(Table157[[#This Row],[Period]]=1,$C$6,PMT(InterestRate*AmortizationMultiplier/12,Table157[[#This Row],[Am Thru]],-Table157[[#This Row],[Beginning Balance]]))),0)</f>
        <v>0</v>
      </c>
      <c r="H301" s="32">
        <f>MAX(0,IF(C301=$C$4,D301,ROUND(IF($C$3="Fixed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1" s="32">
        <f>ROUND(Table157[[#This Row],[Defaulted Principal]]*IF($C$9="No",$E$4,VLOOKUP(Table157[[#This Row],[Period]],[1]Forecast!$H$2:$L$1048576,3,FALSE)),2)</f>
        <v>0</v>
      </c>
      <c r="L301" s="4">
        <f>Table157[[#This Row],[Period]]+$E$9</f>
        <v>297</v>
      </c>
      <c r="M301" s="32">
        <f>Table157[[#This Row],[Defaulted Principal]]-Table157[[#This Row],[Estimated Loss]]</f>
        <v>0</v>
      </c>
      <c r="N301" s="32">
        <f>IFERROR(VLOOKUP(Table157[[#This Row],[Period]],$L$16:$M$385,2,FALSE),0)</f>
        <v>0</v>
      </c>
      <c r="O301" s="32">
        <f>Table157[[#This Row],[Beginning Balance]]-Table157[[#This Row],[Principal]]-Table157[[#This Row],[Prepayments]]-Table157[[#This Row],[Defaulted Principal]]</f>
        <v>0</v>
      </c>
      <c r="P301" s="32">
        <f>Table157[[#This Row],[Principal]]+Table157[[#This Row],[Interest]]+Table157[[#This Row],[Prepayments]]+Table157[[#This Row],[RecoveredAmount]]</f>
        <v>0</v>
      </c>
      <c r="Q301" s="32">
        <f ca="1">ROUND(Table157[[#This Row],[Cash Flow]]/((1+ActualRateToUse)^(IF(ISNUMBER(SEARCH("Actual",$C$7)),Table157[[#This Row],[Running Total]]/365,Table157[[#This Row],[Period]]/12))),2)</f>
        <v>0</v>
      </c>
      <c r="R301" s="4">
        <f>IF(MONTH(Table157[[#This Row],[Date]])=2,28,DAY(DATE(YEAR(Table157[[#This Row],[Date]]),MONTH(Table157[[#This Row],[Date]])+1,1)-1))</f>
        <v>31</v>
      </c>
      <c r="S301" s="4">
        <f ca="1">SUM(OFFSET(Table157[[#Headers],[Days in month]],1,0):Table157[[#This Row],[Days in month]])</f>
        <v>8669</v>
      </c>
      <c r="T301" s="30">
        <f>InterestRate*AmortizationMultiplier*IF(ISNUMBER(SEARCH("Actual",$C$7)),Table157[[#This Row],[Days in month]]/365,1/12)</f>
        <v>2.9708333333333331E-3</v>
      </c>
    </row>
    <row r="302" spans="2:20" x14ac:dyDescent="0.2">
      <c r="B302" s="41">
        <f t="shared" si="14"/>
        <v>54543</v>
      </c>
      <c r="C302" s="4">
        <f t="shared" si="16"/>
        <v>286</v>
      </c>
      <c r="D302" s="32">
        <f t="shared" si="15"/>
        <v>0</v>
      </c>
      <c r="E302" s="32">
        <f>ROUND(Table157[[#This Row],[Beginning Balance]]*Table157[[#This Row],[Monthly Interest Rate]],2)</f>
        <v>0</v>
      </c>
      <c r="F302" s="32">
        <f t="shared" si="17"/>
        <v>-30</v>
      </c>
      <c r="G302" s="45">
        <f>IFERROR(IF($C$13="No","N/A",IF(Table157[[#This Row],[Period]]=1,$C$6,PMT(InterestRate*AmortizationMultiplier/12,Table157[[#This Row],[Am Thru]],-Table157[[#This Row],[Beginning Balance]]))),0)</f>
        <v>0</v>
      </c>
      <c r="H302" s="32">
        <f>MAX(0,IF(C302=$C$4,D302,ROUND(IF($C$3="Fixed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2" s="32">
        <f>ROUND(Table157[[#This Row],[Defaulted Principal]]*IF($C$9="No",$E$4,VLOOKUP(Table157[[#This Row],[Period]],[1]Forecast!$H$2:$L$1048576,3,FALSE)),2)</f>
        <v>0</v>
      </c>
      <c r="L302" s="4">
        <f>Table157[[#This Row],[Period]]+$E$9</f>
        <v>298</v>
      </c>
      <c r="M302" s="32">
        <f>Table157[[#This Row],[Defaulted Principal]]-Table157[[#This Row],[Estimated Loss]]</f>
        <v>0</v>
      </c>
      <c r="N302" s="32">
        <f>IFERROR(VLOOKUP(Table157[[#This Row],[Period]],$L$16:$M$385,2,FALSE),0)</f>
        <v>0</v>
      </c>
      <c r="O302" s="32">
        <f>Table157[[#This Row],[Beginning Balance]]-Table157[[#This Row],[Principal]]-Table157[[#This Row],[Prepayments]]-Table157[[#This Row],[Defaulted Principal]]</f>
        <v>0</v>
      </c>
      <c r="P302" s="32">
        <f>Table157[[#This Row],[Principal]]+Table157[[#This Row],[Interest]]+Table157[[#This Row],[Prepayments]]+Table157[[#This Row],[RecoveredAmount]]</f>
        <v>0</v>
      </c>
      <c r="Q302" s="32">
        <f ca="1">ROUND(Table157[[#This Row],[Cash Flow]]/((1+ActualRateToUse)^(IF(ISNUMBER(SEARCH("Actual",$C$7)),Table157[[#This Row],[Running Total]]/365,Table157[[#This Row],[Period]]/12))),2)</f>
        <v>0</v>
      </c>
      <c r="R302" s="4">
        <f>IF(MONTH(Table157[[#This Row],[Date]])=2,28,DAY(DATE(YEAR(Table157[[#This Row],[Date]]),MONTH(Table157[[#This Row],[Date]])+1,1)-1))</f>
        <v>30</v>
      </c>
      <c r="S302" s="4">
        <f ca="1">SUM(OFFSET(Table157[[#Headers],[Days in month]],1,0):Table157[[#This Row],[Days in month]])</f>
        <v>8699</v>
      </c>
      <c r="T302" s="30">
        <f>InterestRate*AmortizationMultiplier*IF(ISNUMBER(SEARCH("Actual",$C$7)),Table157[[#This Row],[Days in month]]/365,1/12)</f>
        <v>2.8749999999999995E-3</v>
      </c>
    </row>
    <row r="303" spans="2:20" x14ac:dyDescent="0.2">
      <c r="B303" s="41">
        <f t="shared" si="14"/>
        <v>54574</v>
      </c>
      <c r="C303" s="4">
        <f t="shared" si="16"/>
        <v>287</v>
      </c>
      <c r="D303" s="32">
        <f t="shared" si="15"/>
        <v>0</v>
      </c>
      <c r="E303" s="32">
        <f>ROUND(Table157[[#This Row],[Beginning Balance]]*Table157[[#This Row],[Monthly Interest Rate]],2)</f>
        <v>0</v>
      </c>
      <c r="F303" s="32">
        <f t="shared" si="17"/>
        <v>-31</v>
      </c>
      <c r="G303" s="45">
        <f>IFERROR(IF($C$13="No","N/A",IF(Table157[[#This Row],[Period]]=1,$C$6,PMT(InterestRate*AmortizationMultiplier/12,Table157[[#This Row],[Am Thru]],-Table157[[#This Row],[Beginning Balance]]))),0)</f>
        <v>0</v>
      </c>
      <c r="H303" s="32">
        <f>MAX(0,IF(C303=$C$4,D303,ROUND(IF($C$3="Fixed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3" s="32">
        <f>ROUND(Table157[[#This Row],[Defaulted Principal]]*IF($C$9="No",$E$4,VLOOKUP(Table157[[#This Row],[Period]],[1]Forecast!$H$2:$L$1048576,3,FALSE)),2)</f>
        <v>0</v>
      </c>
      <c r="L303" s="4">
        <f>Table157[[#This Row],[Period]]+$E$9</f>
        <v>299</v>
      </c>
      <c r="M303" s="32">
        <f>Table157[[#This Row],[Defaulted Principal]]-Table157[[#This Row],[Estimated Loss]]</f>
        <v>0</v>
      </c>
      <c r="N303" s="32">
        <f>IFERROR(VLOOKUP(Table157[[#This Row],[Period]],$L$16:$M$385,2,FALSE),0)</f>
        <v>0</v>
      </c>
      <c r="O303" s="32">
        <f>Table157[[#This Row],[Beginning Balance]]-Table157[[#This Row],[Principal]]-Table157[[#This Row],[Prepayments]]-Table157[[#This Row],[Defaulted Principal]]</f>
        <v>0</v>
      </c>
      <c r="P303" s="32">
        <f>Table157[[#This Row],[Principal]]+Table157[[#This Row],[Interest]]+Table157[[#This Row],[Prepayments]]+Table157[[#This Row],[RecoveredAmount]]</f>
        <v>0</v>
      </c>
      <c r="Q303" s="32">
        <f ca="1">ROUND(Table157[[#This Row],[Cash Flow]]/((1+ActualRateToUse)^(IF(ISNUMBER(SEARCH("Actual",$C$7)),Table157[[#This Row],[Running Total]]/365,Table157[[#This Row],[Period]]/12))),2)</f>
        <v>0</v>
      </c>
      <c r="R303" s="4">
        <f>IF(MONTH(Table157[[#This Row],[Date]])=2,28,DAY(DATE(YEAR(Table157[[#This Row],[Date]]),MONTH(Table157[[#This Row],[Date]])+1,1)-1))</f>
        <v>31</v>
      </c>
      <c r="S303" s="4">
        <f ca="1">SUM(OFFSET(Table157[[#Headers],[Days in month]],1,0):Table157[[#This Row],[Days in month]])</f>
        <v>8730</v>
      </c>
      <c r="T303" s="30">
        <f>InterestRate*AmortizationMultiplier*IF(ISNUMBER(SEARCH("Actual",$C$7)),Table157[[#This Row],[Days in month]]/365,1/12)</f>
        <v>2.9708333333333331E-3</v>
      </c>
    </row>
    <row r="304" spans="2:20" x14ac:dyDescent="0.2">
      <c r="B304" s="41">
        <f t="shared" si="14"/>
        <v>54604</v>
      </c>
      <c r="C304" s="4">
        <f t="shared" si="16"/>
        <v>288</v>
      </c>
      <c r="D304" s="32">
        <f t="shared" si="15"/>
        <v>0</v>
      </c>
      <c r="E304" s="32">
        <f>ROUND(Table157[[#This Row],[Beginning Balance]]*Table157[[#This Row],[Monthly Interest Rate]],2)</f>
        <v>0</v>
      </c>
      <c r="F304" s="32">
        <f t="shared" si="17"/>
        <v>-32</v>
      </c>
      <c r="G304" s="45">
        <f>IFERROR(IF($C$13="No","N/A",IF(Table157[[#This Row],[Period]]=1,$C$6,PMT(InterestRate*AmortizationMultiplier/12,Table157[[#This Row],[Am Thru]],-Table157[[#This Row],[Beginning Balance]]))),0)</f>
        <v>0</v>
      </c>
      <c r="H304" s="32">
        <f>MAX(0,IF(C304=$C$4,D304,ROUND(IF($C$3="Fixed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4" s="32">
        <f>ROUND(Table157[[#This Row],[Defaulted Principal]]*IF($C$9="No",$E$4,VLOOKUP(Table157[[#This Row],[Period]],[1]Forecast!$H$2:$L$1048576,3,FALSE)),2)</f>
        <v>0</v>
      </c>
      <c r="L304" s="4">
        <f>Table157[[#This Row],[Period]]+$E$9</f>
        <v>300</v>
      </c>
      <c r="M304" s="32">
        <f>Table157[[#This Row],[Defaulted Principal]]-Table157[[#This Row],[Estimated Loss]]</f>
        <v>0</v>
      </c>
      <c r="N304" s="32">
        <f>IFERROR(VLOOKUP(Table157[[#This Row],[Period]],$L$16:$M$385,2,FALSE),0)</f>
        <v>0</v>
      </c>
      <c r="O304" s="32">
        <f>Table157[[#This Row],[Beginning Balance]]-Table157[[#This Row],[Principal]]-Table157[[#This Row],[Prepayments]]-Table157[[#This Row],[Defaulted Principal]]</f>
        <v>0</v>
      </c>
      <c r="P304" s="32">
        <f>Table157[[#This Row],[Principal]]+Table157[[#This Row],[Interest]]+Table157[[#This Row],[Prepayments]]+Table157[[#This Row],[RecoveredAmount]]</f>
        <v>0</v>
      </c>
      <c r="Q304" s="32">
        <f ca="1">ROUND(Table157[[#This Row],[Cash Flow]]/((1+ActualRateToUse)^(IF(ISNUMBER(SEARCH("Actual",$C$7)),Table157[[#This Row],[Running Total]]/365,Table157[[#This Row],[Period]]/12))),2)</f>
        <v>0</v>
      </c>
      <c r="R304" s="4">
        <f>IF(MONTH(Table157[[#This Row],[Date]])=2,28,DAY(DATE(YEAR(Table157[[#This Row],[Date]]),MONTH(Table157[[#This Row],[Date]])+1,1)-1))</f>
        <v>30</v>
      </c>
      <c r="S304" s="4">
        <f ca="1">SUM(OFFSET(Table157[[#Headers],[Days in month]],1,0):Table157[[#This Row],[Days in month]])</f>
        <v>8760</v>
      </c>
      <c r="T304" s="30">
        <f>InterestRate*AmortizationMultiplier*IF(ISNUMBER(SEARCH("Actual",$C$7)),Table157[[#This Row],[Days in month]]/365,1/12)</f>
        <v>2.8749999999999995E-3</v>
      </c>
    </row>
    <row r="305" spans="2:20" x14ac:dyDescent="0.2">
      <c r="B305" s="41">
        <f t="shared" si="14"/>
        <v>54635</v>
      </c>
      <c r="C305" s="4">
        <f t="shared" si="16"/>
        <v>289</v>
      </c>
      <c r="D305" s="32">
        <f t="shared" si="15"/>
        <v>0</v>
      </c>
      <c r="E305" s="32">
        <f>ROUND(Table157[[#This Row],[Beginning Balance]]*Table157[[#This Row],[Monthly Interest Rate]],2)</f>
        <v>0</v>
      </c>
      <c r="F305" s="32">
        <f t="shared" si="17"/>
        <v>-33</v>
      </c>
      <c r="G305" s="45">
        <f>IFERROR(IF($C$13="No","N/A",IF(Table157[[#This Row],[Period]]=1,$C$6,PMT(InterestRate*AmortizationMultiplier/12,Table157[[#This Row],[Am Thru]],-Table157[[#This Row],[Beginning Balance]]))),0)</f>
        <v>0</v>
      </c>
      <c r="H305" s="32">
        <f>MAX(0,IF(C305=$C$4,D305,ROUND(IF($C$3="Fixed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5" s="32">
        <f>ROUND(Table157[[#This Row],[Defaulted Principal]]*IF($C$9="No",$E$4,VLOOKUP(Table157[[#This Row],[Period]],[1]Forecast!$H$2:$L$1048576,3,FALSE)),2)</f>
        <v>0</v>
      </c>
      <c r="L305" s="4">
        <f>Table157[[#This Row],[Period]]+$E$9</f>
        <v>301</v>
      </c>
      <c r="M305" s="32">
        <f>Table157[[#This Row],[Defaulted Principal]]-Table157[[#This Row],[Estimated Loss]]</f>
        <v>0</v>
      </c>
      <c r="N305" s="32">
        <f>IFERROR(VLOOKUP(Table157[[#This Row],[Period]],$L$16:$M$385,2,FALSE),0)</f>
        <v>0</v>
      </c>
      <c r="O305" s="32">
        <f>Table157[[#This Row],[Beginning Balance]]-Table157[[#This Row],[Principal]]-Table157[[#This Row],[Prepayments]]-Table157[[#This Row],[Defaulted Principal]]</f>
        <v>0</v>
      </c>
      <c r="P305" s="32">
        <f>Table157[[#This Row],[Principal]]+Table157[[#This Row],[Interest]]+Table157[[#This Row],[Prepayments]]+Table157[[#This Row],[RecoveredAmount]]</f>
        <v>0</v>
      </c>
      <c r="Q305" s="32">
        <f ca="1">ROUND(Table157[[#This Row],[Cash Flow]]/((1+ActualRateToUse)^(IF(ISNUMBER(SEARCH("Actual",$C$7)),Table157[[#This Row],[Running Total]]/365,Table157[[#This Row],[Period]]/12))),2)</f>
        <v>0</v>
      </c>
      <c r="R305" s="4">
        <f>IF(MONTH(Table157[[#This Row],[Date]])=2,28,DAY(DATE(YEAR(Table157[[#This Row],[Date]]),MONTH(Table157[[#This Row],[Date]])+1,1)-1))</f>
        <v>31</v>
      </c>
      <c r="S305" s="4">
        <f ca="1">SUM(OFFSET(Table157[[#Headers],[Days in month]],1,0):Table157[[#This Row],[Days in month]])</f>
        <v>8791</v>
      </c>
      <c r="T305" s="30">
        <f>InterestRate*AmortizationMultiplier*IF(ISNUMBER(SEARCH("Actual",$C$7)),Table157[[#This Row],[Days in month]]/365,1/12)</f>
        <v>2.9708333333333331E-3</v>
      </c>
    </row>
    <row r="306" spans="2:20" x14ac:dyDescent="0.2">
      <c r="B306" s="41">
        <f t="shared" si="14"/>
        <v>54666</v>
      </c>
      <c r="C306" s="4">
        <f t="shared" si="16"/>
        <v>290</v>
      </c>
      <c r="D306" s="32">
        <f t="shared" si="15"/>
        <v>0</v>
      </c>
      <c r="E306" s="32">
        <f>ROUND(Table157[[#This Row],[Beginning Balance]]*Table157[[#This Row],[Monthly Interest Rate]],2)</f>
        <v>0</v>
      </c>
      <c r="F306" s="32">
        <f t="shared" si="17"/>
        <v>-34</v>
      </c>
      <c r="G306" s="45">
        <f>IFERROR(IF($C$13="No","N/A",IF(Table157[[#This Row],[Period]]=1,$C$6,PMT(InterestRate*AmortizationMultiplier/12,Table157[[#This Row],[Am Thru]],-Table157[[#This Row],[Beginning Balance]]))),0)</f>
        <v>0</v>
      </c>
      <c r="H306" s="32">
        <f>MAX(0,IF(C306=$C$4,D306,ROUND(IF($C$3="Fixed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6" s="32">
        <f>ROUND(Table157[[#This Row],[Defaulted Principal]]*IF($C$9="No",$E$4,VLOOKUP(Table157[[#This Row],[Period]],[1]Forecast!$H$2:$L$1048576,3,FALSE)),2)</f>
        <v>0</v>
      </c>
      <c r="L306" s="4">
        <f>Table157[[#This Row],[Period]]+$E$9</f>
        <v>302</v>
      </c>
      <c r="M306" s="32">
        <f>Table157[[#This Row],[Defaulted Principal]]-Table157[[#This Row],[Estimated Loss]]</f>
        <v>0</v>
      </c>
      <c r="N306" s="32">
        <f>IFERROR(VLOOKUP(Table157[[#This Row],[Period]],$L$16:$M$385,2,FALSE),0)</f>
        <v>0</v>
      </c>
      <c r="O306" s="32">
        <f>Table157[[#This Row],[Beginning Balance]]-Table157[[#This Row],[Principal]]-Table157[[#This Row],[Prepayments]]-Table157[[#This Row],[Defaulted Principal]]</f>
        <v>0</v>
      </c>
      <c r="P306" s="32">
        <f>Table157[[#This Row],[Principal]]+Table157[[#This Row],[Interest]]+Table157[[#This Row],[Prepayments]]+Table157[[#This Row],[RecoveredAmount]]</f>
        <v>0</v>
      </c>
      <c r="Q306" s="32">
        <f ca="1">ROUND(Table157[[#This Row],[Cash Flow]]/((1+ActualRateToUse)^(IF(ISNUMBER(SEARCH("Actual",$C$7)),Table157[[#This Row],[Running Total]]/365,Table157[[#This Row],[Period]]/12))),2)</f>
        <v>0</v>
      </c>
      <c r="R306" s="4">
        <f>IF(MONTH(Table157[[#This Row],[Date]])=2,28,DAY(DATE(YEAR(Table157[[#This Row],[Date]]),MONTH(Table157[[#This Row],[Date]])+1,1)-1))</f>
        <v>31</v>
      </c>
      <c r="S306" s="4">
        <f ca="1">SUM(OFFSET(Table157[[#Headers],[Days in month]],1,0):Table157[[#This Row],[Days in month]])</f>
        <v>8822</v>
      </c>
      <c r="T306" s="30">
        <f>InterestRate*AmortizationMultiplier*IF(ISNUMBER(SEARCH("Actual",$C$7)),Table157[[#This Row],[Days in month]]/365,1/12)</f>
        <v>2.9708333333333331E-3</v>
      </c>
    </row>
    <row r="307" spans="2:20" x14ac:dyDescent="0.2">
      <c r="B307" s="41">
        <f t="shared" si="14"/>
        <v>54696</v>
      </c>
      <c r="C307" s="4">
        <f t="shared" si="16"/>
        <v>291</v>
      </c>
      <c r="D307" s="32">
        <f t="shared" si="15"/>
        <v>0</v>
      </c>
      <c r="E307" s="32">
        <f>ROUND(Table157[[#This Row],[Beginning Balance]]*Table157[[#This Row],[Monthly Interest Rate]],2)</f>
        <v>0</v>
      </c>
      <c r="F307" s="32">
        <f t="shared" si="17"/>
        <v>-35</v>
      </c>
      <c r="G307" s="45">
        <f>IFERROR(IF($C$13="No","N/A",IF(Table157[[#This Row],[Period]]=1,$C$6,PMT(InterestRate*AmortizationMultiplier/12,Table157[[#This Row],[Am Thru]],-Table157[[#This Row],[Beginning Balance]]))),0)</f>
        <v>0</v>
      </c>
      <c r="H307" s="32">
        <f>MAX(0,IF(C307=$C$4,D307,ROUND(IF($C$3="Fixed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7" s="32">
        <f>ROUND(Table157[[#This Row],[Defaulted Principal]]*IF($C$9="No",$E$4,VLOOKUP(Table157[[#This Row],[Period]],[1]Forecast!$H$2:$L$1048576,3,FALSE)),2)</f>
        <v>0</v>
      </c>
      <c r="L307" s="4">
        <f>Table157[[#This Row],[Period]]+$E$9</f>
        <v>303</v>
      </c>
      <c r="M307" s="32">
        <f>Table157[[#This Row],[Defaulted Principal]]-Table157[[#This Row],[Estimated Loss]]</f>
        <v>0</v>
      </c>
      <c r="N307" s="32">
        <f>IFERROR(VLOOKUP(Table157[[#This Row],[Period]],$L$16:$M$385,2,FALSE),0)</f>
        <v>0</v>
      </c>
      <c r="O307" s="32">
        <f>Table157[[#This Row],[Beginning Balance]]-Table157[[#This Row],[Principal]]-Table157[[#This Row],[Prepayments]]-Table157[[#This Row],[Defaulted Principal]]</f>
        <v>0</v>
      </c>
      <c r="P307" s="32">
        <f>Table157[[#This Row],[Principal]]+Table157[[#This Row],[Interest]]+Table157[[#This Row],[Prepayments]]+Table157[[#This Row],[RecoveredAmount]]</f>
        <v>0</v>
      </c>
      <c r="Q307" s="32">
        <f ca="1">ROUND(Table157[[#This Row],[Cash Flow]]/((1+ActualRateToUse)^(IF(ISNUMBER(SEARCH("Actual",$C$7)),Table157[[#This Row],[Running Total]]/365,Table157[[#This Row],[Period]]/12))),2)</f>
        <v>0</v>
      </c>
      <c r="R307" s="4">
        <f>IF(MONTH(Table157[[#This Row],[Date]])=2,28,DAY(DATE(YEAR(Table157[[#This Row],[Date]]),MONTH(Table157[[#This Row],[Date]])+1,1)-1))</f>
        <v>30</v>
      </c>
      <c r="S307" s="4">
        <f ca="1">SUM(OFFSET(Table157[[#Headers],[Days in month]],1,0):Table157[[#This Row],[Days in month]])</f>
        <v>8852</v>
      </c>
      <c r="T307" s="30">
        <f>InterestRate*AmortizationMultiplier*IF(ISNUMBER(SEARCH("Actual",$C$7)),Table157[[#This Row],[Days in month]]/365,1/12)</f>
        <v>2.8749999999999995E-3</v>
      </c>
    </row>
    <row r="308" spans="2:20" x14ac:dyDescent="0.2">
      <c r="B308" s="41">
        <f t="shared" si="14"/>
        <v>54727</v>
      </c>
      <c r="C308" s="4">
        <f t="shared" si="16"/>
        <v>292</v>
      </c>
      <c r="D308" s="32">
        <f t="shared" si="15"/>
        <v>0</v>
      </c>
      <c r="E308" s="32">
        <f>ROUND(Table157[[#This Row],[Beginning Balance]]*Table157[[#This Row],[Monthly Interest Rate]],2)</f>
        <v>0</v>
      </c>
      <c r="F308" s="32">
        <f t="shared" si="17"/>
        <v>-36</v>
      </c>
      <c r="G308" s="45">
        <f>IFERROR(IF($C$13="No","N/A",IF(Table157[[#This Row],[Period]]=1,$C$6,PMT(InterestRate*AmortizationMultiplier/12,Table157[[#This Row],[Am Thru]],-Table157[[#This Row],[Beginning Balance]]))),0)</f>
        <v>0</v>
      </c>
      <c r="H308" s="32">
        <f>MAX(0,IF(C308=$C$4,D308,ROUND(IF($C$3="Fixed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8" s="32">
        <f>ROUND(Table157[[#This Row],[Defaulted Principal]]*IF($C$9="No",$E$4,VLOOKUP(Table157[[#This Row],[Period]],[1]Forecast!$H$2:$L$1048576,3,FALSE)),2)</f>
        <v>0</v>
      </c>
      <c r="L308" s="4">
        <f>Table157[[#This Row],[Period]]+$E$9</f>
        <v>304</v>
      </c>
      <c r="M308" s="32">
        <f>Table157[[#This Row],[Defaulted Principal]]-Table157[[#This Row],[Estimated Loss]]</f>
        <v>0</v>
      </c>
      <c r="N308" s="32">
        <f>IFERROR(VLOOKUP(Table157[[#This Row],[Period]],$L$16:$M$385,2,FALSE),0)</f>
        <v>0</v>
      </c>
      <c r="O308" s="32">
        <f>Table157[[#This Row],[Beginning Balance]]-Table157[[#This Row],[Principal]]-Table157[[#This Row],[Prepayments]]-Table157[[#This Row],[Defaulted Principal]]</f>
        <v>0</v>
      </c>
      <c r="P308" s="32">
        <f>Table157[[#This Row],[Principal]]+Table157[[#This Row],[Interest]]+Table157[[#This Row],[Prepayments]]+Table157[[#This Row],[RecoveredAmount]]</f>
        <v>0</v>
      </c>
      <c r="Q308" s="32">
        <f ca="1">ROUND(Table157[[#This Row],[Cash Flow]]/((1+ActualRateToUse)^(IF(ISNUMBER(SEARCH("Actual",$C$7)),Table157[[#This Row],[Running Total]]/365,Table157[[#This Row],[Period]]/12))),2)</f>
        <v>0</v>
      </c>
      <c r="R308" s="4">
        <f>IF(MONTH(Table157[[#This Row],[Date]])=2,28,DAY(DATE(YEAR(Table157[[#This Row],[Date]]),MONTH(Table157[[#This Row],[Date]])+1,1)-1))</f>
        <v>31</v>
      </c>
      <c r="S308" s="4">
        <f ca="1">SUM(OFFSET(Table157[[#Headers],[Days in month]],1,0):Table157[[#This Row],[Days in month]])</f>
        <v>8883</v>
      </c>
      <c r="T308" s="30">
        <f>InterestRate*AmortizationMultiplier*IF(ISNUMBER(SEARCH("Actual",$C$7)),Table157[[#This Row],[Days in month]]/365,1/12)</f>
        <v>2.9708333333333331E-3</v>
      </c>
    </row>
    <row r="309" spans="2:20" x14ac:dyDescent="0.2">
      <c r="B309" s="41">
        <f t="shared" si="14"/>
        <v>54757</v>
      </c>
      <c r="C309" s="4">
        <f t="shared" si="16"/>
        <v>293</v>
      </c>
      <c r="D309" s="32">
        <f t="shared" si="15"/>
        <v>0</v>
      </c>
      <c r="E309" s="32">
        <f>ROUND(Table157[[#This Row],[Beginning Balance]]*Table157[[#This Row],[Monthly Interest Rate]],2)</f>
        <v>0</v>
      </c>
      <c r="F309" s="32">
        <f t="shared" si="17"/>
        <v>-37</v>
      </c>
      <c r="G309" s="45">
        <f>IFERROR(IF($C$13="No","N/A",IF(Table157[[#This Row],[Period]]=1,$C$6,PMT(InterestRate*AmortizationMultiplier/12,Table157[[#This Row],[Am Thru]],-Table157[[#This Row],[Beginning Balance]]))),0)</f>
        <v>0</v>
      </c>
      <c r="H309" s="32">
        <f>MAX(0,IF(C309=$C$4,D309,ROUND(IF($C$3="Fixed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0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0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09" s="32">
        <f>ROUND(Table157[[#This Row],[Defaulted Principal]]*IF($C$9="No",$E$4,VLOOKUP(Table157[[#This Row],[Period]],[1]Forecast!$H$2:$L$1048576,3,FALSE)),2)</f>
        <v>0</v>
      </c>
      <c r="L309" s="4">
        <f>Table157[[#This Row],[Period]]+$E$9</f>
        <v>305</v>
      </c>
      <c r="M309" s="32">
        <f>Table157[[#This Row],[Defaulted Principal]]-Table157[[#This Row],[Estimated Loss]]</f>
        <v>0</v>
      </c>
      <c r="N309" s="32">
        <f>IFERROR(VLOOKUP(Table157[[#This Row],[Period]],$L$16:$M$385,2,FALSE),0)</f>
        <v>0</v>
      </c>
      <c r="O309" s="32">
        <f>Table157[[#This Row],[Beginning Balance]]-Table157[[#This Row],[Principal]]-Table157[[#This Row],[Prepayments]]-Table157[[#This Row],[Defaulted Principal]]</f>
        <v>0</v>
      </c>
      <c r="P309" s="32">
        <f>Table157[[#This Row],[Principal]]+Table157[[#This Row],[Interest]]+Table157[[#This Row],[Prepayments]]+Table157[[#This Row],[RecoveredAmount]]</f>
        <v>0</v>
      </c>
      <c r="Q309" s="32">
        <f ca="1">ROUND(Table157[[#This Row],[Cash Flow]]/((1+ActualRateToUse)^(IF(ISNUMBER(SEARCH("Actual",$C$7)),Table157[[#This Row],[Running Total]]/365,Table157[[#This Row],[Period]]/12))),2)</f>
        <v>0</v>
      </c>
      <c r="R309" s="4">
        <f>IF(MONTH(Table157[[#This Row],[Date]])=2,28,DAY(DATE(YEAR(Table157[[#This Row],[Date]]),MONTH(Table157[[#This Row],[Date]])+1,1)-1))</f>
        <v>30</v>
      </c>
      <c r="S309" s="4">
        <f ca="1">SUM(OFFSET(Table157[[#Headers],[Days in month]],1,0):Table157[[#This Row],[Days in month]])</f>
        <v>8913</v>
      </c>
      <c r="T309" s="30">
        <f>InterestRate*AmortizationMultiplier*IF(ISNUMBER(SEARCH("Actual",$C$7)),Table157[[#This Row],[Days in month]]/365,1/12)</f>
        <v>2.8749999999999995E-3</v>
      </c>
    </row>
    <row r="310" spans="2:20" x14ac:dyDescent="0.2">
      <c r="B310" s="41">
        <f t="shared" si="14"/>
        <v>54788</v>
      </c>
      <c r="C310" s="4">
        <f t="shared" si="16"/>
        <v>294</v>
      </c>
      <c r="D310" s="32">
        <f t="shared" si="15"/>
        <v>0</v>
      </c>
      <c r="E310" s="32">
        <f>ROUND(Table157[[#This Row],[Beginning Balance]]*Table157[[#This Row],[Monthly Interest Rate]],2)</f>
        <v>0</v>
      </c>
      <c r="F310" s="32">
        <f t="shared" si="17"/>
        <v>-38</v>
      </c>
      <c r="G310" s="45">
        <f>IFERROR(IF($C$13="No","N/A",IF(Table157[[#This Row],[Period]]=1,$C$6,PMT(InterestRate*AmortizationMultiplier/12,Table157[[#This Row],[Am Thru]],-Table157[[#This Row],[Beginning Balance]]))),0)</f>
        <v>0</v>
      </c>
      <c r="H310" s="32">
        <f>MAX(0,IF(C310=$C$4,D310,ROUND(IF($C$3="Fixed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0" s="32">
        <f>ROUND(Table157[[#This Row],[Defaulted Principal]]*IF($C$9="No",$E$4,VLOOKUP(Table157[[#This Row],[Period]],[1]Forecast!$H$2:$L$1048576,3,FALSE)),2)</f>
        <v>0</v>
      </c>
      <c r="L310" s="4">
        <f>Table157[[#This Row],[Period]]+$E$9</f>
        <v>306</v>
      </c>
      <c r="M310" s="32">
        <f>Table157[[#This Row],[Defaulted Principal]]-Table157[[#This Row],[Estimated Loss]]</f>
        <v>0</v>
      </c>
      <c r="N310" s="32">
        <f>IFERROR(VLOOKUP(Table157[[#This Row],[Period]],$L$16:$M$385,2,FALSE),0)</f>
        <v>0</v>
      </c>
      <c r="O310" s="32">
        <f>Table157[[#This Row],[Beginning Balance]]-Table157[[#This Row],[Principal]]-Table157[[#This Row],[Prepayments]]-Table157[[#This Row],[Defaulted Principal]]</f>
        <v>0</v>
      </c>
      <c r="P310" s="32">
        <f>Table157[[#This Row],[Principal]]+Table157[[#This Row],[Interest]]+Table157[[#This Row],[Prepayments]]+Table157[[#This Row],[RecoveredAmount]]</f>
        <v>0</v>
      </c>
      <c r="Q310" s="32">
        <f ca="1">ROUND(Table157[[#This Row],[Cash Flow]]/((1+ActualRateToUse)^(IF(ISNUMBER(SEARCH("Actual",$C$7)),Table157[[#This Row],[Running Total]]/365,Table157[[#This Row],[Period]]/12))),2)</f>
        <v>0</v>
      </c>
      <c r="R310" s="4">
        <f>IF(MONTH(Table157[[#This Row],[Date]])=2,28,DAY(DATE(YEAR(Table157[[#This Row],[Date]]),MONTH(Table157[[#This Row],[Date]])+1,1)-1))</f>
        <v>31</v>
      </c>
      <c r="S310" s="4">
        <f ca="1">SUM(OFFSET(Table157[[#Headers],[Days in month]],1,0):Table157[[#This Row],[Days in month]])</f>
        <v>8944</v>
      </c>
      <c r="T310" s="30">
        <f>InterestRate*AmortizationMultiplier*IF(ISNUMBER(SEARCH("Actual",$C$7)),Table157[[#This Row],[Days in month]]/365,1/12)</f>
        <v>2.9708333333333331E-3</v>
      </c>
    </row>
    <row r="311" spans="2:20" x14ac:dyDescent="0.2">
      <c r="B311" s="41">
        <f t="shared" si="14"/>
        <v>54819</v>
      </c>
      <c r="C311" s="4">
        <f t="shared" si="16"/>
        <v>295</v>
      </c>
      <c r="D311" s="32">
        <f t="shared" si="15"/>
        <v>0</v>
      </c>
      <c r="E311" s="32">
        <f>ROUND(Table157[[#This Row],[Beginning Balance]]*Table157[[#This Row],[Monthly Interest Rate]],2)</f>
        <v>0</v>
      </c>
      <c r="F311" s="32">
        <f t="shared" si="17"/>
        <v>-39</v>
      </c>
      <c r="G311" s="45">
        <f>IFERROR(IF($C$13="No","N/A",IF(Table157[[#This Row],[Period]]=1,$C$6,PMT(InterestRate*AmortizationMultiplier/12,Table157[[#This Row],[Am Thru]],-Table157[[#This Row],[Beginning Balance]]))),0)</f>
        <v>0</v>
      </c>
      <c r="H311" s="32">
        <f>MAX(0,IF(C311=$C$4,D311,ROUND(IF($C$3="Fixed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1" s="32">
        <f>ROUND(Table157[[#This Row],[Defaulted Principal]]*IF($C$9="No",$E$4,VLOOKUP(Table157[[#This Row],[Period]],[1]Forecast!$H$2:$L$1048576,3,FALSE)),2)</f>
        <v>0</v>
      </c>
      <c r="L311" s="4">
        <f>Table157[[#This Row],[Period]]+$E$9</f>
        <v>307</v>
      </c>
      <c r="M311" s="32">
        <f>Table157[[#This Row],[Defaulted Principal]]-Table157[[#This Row],[Estimated Loss]]</f>
        <v>0</v>
      </c>
      <c r="N311" s="32">
        <f>IFERROR(VLOOKUP(Table157[[#This Row],[Period]],$L$16:$M$385,2,FALSE),0)</f>
        <v>0</v>
      </c>
      <c r="O311" s="32">
        <f>Table157[[#This Row],[Beginning Balance]]-Table157[[#This Row],[Principal]]-Table157[[#This Row],[Prepayments]]-Table157[[#This Row],[Defaulted Principal]]</f>
        <v>0</v>
      </c>
      <c r="P311" s="32">
        <f>Table157[[#This Row],[Principal]]+Table157[[#This Row],[Interest]]+Table157[[#This Row],[Prepayments]]+Table157[[#This Row],[RecoveredAmount]]</f>
        <v>0</v>
      </c>
      <c r="Q311" s="32">
        <f ca="1">ROUND(Table157[[#This Row],[Cash Flow]]/((1+ActualRateToUse)^(IF(ISNUMBER(SEARCH("Actual",$C$7)),Table157[[#This Row],[Running Total]]/365,Table157[[#This Row],[Period]]/12))),2)</f>
        <v>0</v>
      </c>
      <c r="R311" s="4">
        <f>IF(MONTH(Table157[[#This Row],[Date]])=2,28,DAY(DATE(YEAR(Table157[[#This Row],[Date]]),MONTH(Table157[[#This Row],[Date]])+1,1)-1))</f>
        <v>31</v>
      </c>
      <c r="S311" s="4">
        <f ca="1">SUM(OFFSET(Table157[[#Headers],[Days in month]],1,0):Table157[[#This Row],[Days in month]])</f>
        <v>8975</v>
      </c>
      <c r="T311" s="30">
        <f>InterestRate*AmortizationMultiplier*IF(ISNUMBER(SEARCH("Actual",$C$7)),Table157[[#This Row],[Days in month]]/365,1/12)</f>
        <v>2.9708333333333331E-3</v>
      </c>
    </row>
    <row r="312" spans="2:20" x14ac:dyDescent="0.2">
      <c r="B312" s="41">
        <f t="shared" si="14"/>
        <v>54847</v>
      </c>
      <c r="C312" s="4">
        <f t="shared" si="16"/>
        <v>296</v>
      </c>
      <c r="D312" s="32">
        <f t="shared" si="15"/>
        <v>0</v>
      </c>
      <c r="E312" s="32">
        <f>ROUND(Table157[[#This Row],[Beginning Balance]]*Table157[[#This Row],[Monthly Interest Rate]],2)</f>
        <v>0</v>
      </c>
      <c r="F312" s="32">
        <f t="shared" si="17"/>
        <v>-40</v>
      </c>
      <c r="G312" s="45">
        <f>IFERROR(IF($C$13="No","N/A",IF(Table157[[#This Row],[Period]]=1,$C$6,PMT(InterestRate*AmortizationMultiplier/12,Table157[[#This Row],[Am Thru]],-Table157[[#This Row],[Beginning Balance]]))),0)</f>
        <v>0</v>
      </c>
      <c r="H312" s="32">
        <f>MAX(0,IF(C312=$C$4,D312,ROUND(IF($C$3="Fixed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2" s="32">
        <f>ROUND(Table157[[#This Row],[Defaulted Principal]]*IF($C$9="No",$E$4,VLOOKUP(Table157[[#This Row],[Period]],[1]Forecast!$H$2:$L$1048576,3,FALSE)),2)</f>
        <v>0</v>
      </c>
      <c r="L312" s="4">
        <f>Table157[[#This Row],[Period]]+$E$9</f>
        <v>308</v>
      </c>
      <c r="M312" s="32">
        <f>Table157[[#This Row],[Defaulted Principal]]-Table157[[#This Row],[Estimated Loss]]</f>
        <v>0</v>
      </c>
      <c r="N312" s="32">
        <f>IFERROR(VLOOKUP(Table157[[#This Row],[Period]],$L$16:$M$385,2,FALSE),0)</f>
        <v>0</v>
      </c>
      <c r="O312" s="32">
        <f>Table157[[#This Row],[Beginning Balance]]-Table157[[#This Row],[Principal]]-Table157[[#This Row],[Prepayments]]-Table157[[#This Row],[Defaulted Principal]]</f>
        <v>0</v>
      </c>
      <c r="P312" s="32">
        <f>Table157[[#This Row],[Principal]]+Table157[[#This Row],[Interest]]+Table157[[#This Row],[Prepayments]]+Table157[[#This Row],[RecoveredAmount]]</f>
        <v>0</v>
      </c>
      <c r="Q312" s="32">
        <f ca="1">ROUND(Table157[[#This Row],[Cash Flow]]/((1+ActualRateToUse)^(IF(ISNUMBER(SEARCH("Actual",$C$7)),Table157[[#This Row],[Running Total]]/365,Table157[[#This Row],[Period]]/12))),2)</f>
        <v>0</v>
      </c>
      <c r="R312" s="4">
        <f>IF(MONTH(Table157[[#This Row],[Date]])=2,28,DAY(DATE(YEAR(Table157[[#This Row],[Date]]),MONTH(Table157[[#This Row],[Date]])+1,1)-1))</f>
        <v>28</v>
      </c>
      <c r="S312" s="4">
        <f ca="1">SUM(OFFSET(Table157[[#Headers],[Days in month]],1,0):Table157[[#This Row],[Days in month]])</f>
        <v>9003</v>
      </c>
      <c r="T312" s="30">
        <f>InterestRate*AmortizationMultiplier*IF(ISNUMBER(SEARCH("Actual",$C$7)),Table157[[#This Row],[Days in month]]/365,1/12)</f>
        <v>2.6833333333333336E-3</v>
      </c>
    </row>
    <row r="313" spans="2:20" x14ac:dyDescent="0.2">
      <c r="B313" s="41">
        <f t="shared" si="14"/>
        <v>54878</v>
      </c>
      <c r="C313" s="4">
        <f t="shared" si="16"/>
        <v>297</v>
      </c>
      <c r="D313" s="32">
        <f t="shared" si="15"/>
        <v>0</v>
      </c>
      <c r="E313" s="32">
        <f>ROUND(Table157[[#This Row],[Beginning Balance]]*Table157[[#This Row],[Monthly Interest Rate]],2)</f>
        <v>0</v>
      </c>
      <c r="F313" s="32">
        <f t="shared" si="17"/>
        <v>-41</v>
      </c>
      <c r="G313" s="45">
        <f>IFERROR(IF($C$13="No","N/A",IF(Table157[[#This Row],[Period]]=1,$C$6,PMT(InterestRate*AmortizationMultiplier/12,Table157[[#This Row],[Am Thru]],-Table157[[#This Row],[Beginning Balance]]))),0)</f>
        <v>0</v>
      </c>
      <c r="H313" s="32">
        <f>MAX(0,IF(C313=$C$4,D313,ROUND(IF($C$3="Fixed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3" s="32">
        <f>ROUND(Table157[[#This Row],[Defaulted Principal]]*IF($C$9="No",$E$4,VLOOKUP(Table157[[#This Row],[Period]],[1]Forecast!$H$2:$L$1048576,3,FALSE)),2)</f>
        <v>0</v>
      </c>
      <c r="L313" s="4">
        <f>Table157[[#This Row],[Period]]+$E$9</f>
        <v>309</v>
      </c>
      <c r="M313" s="32">
        <f>Table157[[#This Row],[Defaulted Principal]]-Table157[[#This Row],[Estimated Loss]]</f>
        <v>0</v>
      </c>
      <c r="N313" s="32">
        <f>IFERROR(VLOOKUP(Table157[[#This Row],[Period]],$L$16:$M$385,2,FALSE),0)</f>
        <v>0</v>
      </c>
      <c r="O313" s="32">
        <f>Table157[[#This Row],[Beginning Balance]]-Table157[[#This Row],[Principal]]-Table157[[#This Row],[Prepayments]]-Table157[[#This Row],[Defaulted Principal]]</f>
        <v>0</v>
      </c>
      <c r="P313" s="32">
        <f>Table157[[#This Row],[Principal]]+Table157[[#This Row],[Interest]]+Table157[[#This Row],[Prepayments]]+Table157[[#This Row],[RecoveredAmount]]</f>
        <v>0</v>
      </c>
      <c r="Q313" s="32">
        <f ca="1">ROUND(Table157[[#This Row],[Cash Flow]]/((1+ActualRateToUse)^(IF(ISNUMBER(SEARCH("Actual",$C$7)),Table157[[#This Row],[Running Total]]/365,Table157[[#This Row],[Period]]/12))),2)</f>
        <v>0</v>
      </c>
      <c r="R313" s="4">
        <f>IF(MONTH(Table157[[#This Row],[Date]])=2,28,DAY(DATE(YEAR(Table157[[#This Row],[Date]]),MONTH(Table157[[#This Row],[Date]])+1,1)-1))</f>
        <v>31</v>
      </c>
      <c r="S313" s="4">
        <f ca="1">SUM(OFFSET(Table157[[#Headers],[Days in month]],1,0):Table157[[#This Row],[Days in month]])</f>
        <v>9034</v>
      </c>
      <c r="T313" s="30">
        <f>InterestRate*AmortizationMultiplier*IF(ISNUMBER(SEARCH("Actual",$C$7)),Table157[[#This Row],[Days in month]]/365,1/12)</f>
        <v>2.9708333333333331E-3</v>
      </c>
    </row>
    <row r="314" spans="2:20" x14ac:dyDescent="0.2">
      <c r="B314" s="41">
        <f t="shared" si="14"/>
        <v>54908</v>
      </c>
      <c r="C314" s="4">
        <f t="shared" si="16"/>
        <v>298</v>
      </c>
      <c r="D314" s="32">
        <f t="shared" si="15"/>
        <v>0</v>
      </c>
      <c r="E314" s="32">
        <f>ROUND(Table157[[#This Row],[Beginning Balance]]*Table157[[#This Row],[Monthly Interest Rate]],2)</f>
        <v>0</v>
      </c>
      <c r="F314" s="32">
        <f t="shared" si="17"/>
        <v>-42</v>
      </c>
      <c r="G314" s="45">
        <f>IFERROR(IF($C$13="No","N/A",IF(Table157[[#This Row],[Period]]=1,$C$6,PMT(InterestRate*AmortizationMultiplier/12,Table157[[#This Row],[Am Thru]],-Table157[[#This Row],[Beginning Balance]]))),0)</f>
        <v>0</v>
      </c>
      <c r="H314" s="32">
        <f>MAX(0,IF(C314=$C$4,D314,ROUND(IF($C$3="Fixed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4" s="32">
        <f>ROUND(Table157[[#This Row],[Defaulted Principal]]*IF($C$9="No",$E$4,VLOOKUP(Table157[[#This Row],[Period]],[1]Forecast!$H$2:$L$1048576,3,FALSE)),2)</f>
        <v>0</v>
      </c>
      <c r="L314" s="4">
        <f>Table157[[#This Row],[Period]]+$E$9</f>
        <v>310</v>
      </c>
      <c r="M314" s="32">
        <f>Table157[[#This Row],[Defaulted Principal]]-Table157[[#This Row],[Estimated Loss]]</f>
        <v>0</v>
      </c>
      <c r="N314" s="32">
        <f>IFERROR(VLOOKUP(Table157[[#This Row],[Period]],$L$16:$M$385,2,FALSE),0)</f>
        <v>0</v>
      </c>
      <c r="O314" s="32">
        <f>Table157[[#This Row],[Beginning Balance]]-Table157[[#This Row],[Principal]]-Table157[[#This Row],[Prepayments]]-Table157[[#This Row],[Defaulted Principal]]</f>
        <v>0</v>
      </c>
      <c r="P314" s="32">
        <f>Table157[[#This Row],[Principal]]+Table157[[#This Row],[Interest]]+Table157[[#This Row],[Prepayments]]+Table157[[#This Row],[RecoveredAmount]]</f>
        <v>0</v>
      </c>
      <c r="Q314" s="32">
        <f ca="1">ROUND(Table157[[#This Row],[Cash Flow]]/((1+ActualRateToUse)^(IF(ISNUMBER(SEARCH("Actual",$C$7)),Table157[[#This Row],[Running Total]]/365,Table157[[#This Row],[Period]]/12))),2)</f>
        <v>0</v>
      </c>
      <c r="R314" s="4">
        <f>IF(MONTH(Table157[[#This Row],[Date]])=2,28,DAY(DATE(YEAR(Table157[[#This Row],[Date]]),MONTH(Table157[[#This Row],[Date]])+1,1)-1))</f>
        <v>30</v>
      </c>
      <c r="S314" s="4">
        <f ca="1">SUM(OFFSET(Table157[[#Headers],[Days in month]],1,0):Table157[[#This Row],[Days in month]])</f>
        <v>9064</v>
      </c>
      <c r="T314" s="30">
        <f>InterestRate*AmortizationMultiplier*IF(ISNUMBER(SEARCH("Actual",$C$7)),Table157[[#This Row],[Days in month]]/365,1/12)</f>
        <v>2.8749999999999995E-3</v>
      </c>
    </row>
    <row r="315" spans="2:20" x14ac:dyDescent="0.2">
      <c r="B315" s="41">
        <f t="shared" si="14"/>
        <v>54939</v>
      </c>
      <c r="C315" s="4">
        <f t="shared" si="16"/>
        <v>299</v>
      </c>
      <c r="D315" s="32">
        <f t="shared" si="15"/>
        <v>0</v>
      </c>
      <c r="E315" s="32">
        <f>ROUND(Table157[[#This Row],[Beginning Balance]]*Table157[[#This Row],[Monthly Interest Rate]],2)</f>
        <v>0</v>
      </c>
      <c r="F315" s="32">
        <f t="shared" si="17"/>
        <v>-43</v>
      </c>
      <c r="G315" s="45">
        <f>IFERROR(IF($C$13="No","N/A",IF(Table157[[#This Row],[Period]]=1,$C$6,PMT(InterestRate*AmortizationMultiplier/12,Table157[[#This Row],[Am Thru]],-Table157[[#This Row],[Beginning Balance]]))),0)</f>
        <v>0</v>
      </c>
      <c r="H315" s="32">
        <f>MAX(0,IF(C315=$C$4,D315,ROUND(IF($C$3="Fixed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5" s="32">
        <f>ROUND(Table157[[#This Row],[Defaulted Principal]]*IF($C$9="No",$E$4,VLOOKUP(Table157[[#This Row],[Period]],[1]Forecast!$H$2:$L$1048576,3,FALSE)),2)</f>
        <v>0</v>
      </c>
      <c r="L315" s="4">
        <f>Table157[[#This Row],[Period]]+$E$9</f>
        <v>311</v>
      </c>
      <c r="M315" s="32">
        <f>Table157[[#This Row],[Defaulted Principal]]-Table157[[#This Row],[Estimated Loss]]</f>
        <v>0</v>
      </c>
      <c r="N315" s="32">
        <f>IFERROR(VLOOKUP(Table157[[#This Row],[Period]],$L$16:$M$385,2,FALSE),0)</f>
        <v>0</v>
      </c>
      <c r="O315" s="32">
        <f>Table157[[#This Row],[Beginning Balance]]-Table157[[#This Row],[Principal]]-Table157[[#This Row],[Prepayments]]-Table157[[#This Row],[Defaulted Principal]]</f>
        <v>0</v>
      </c>
      <c r="P315" s="32">
        <f>Table157[[#This Row],[Principal]]+Table157[[#This Row],[Interest]]+Table157[[#This Row],[Prepayments]]+Table157[[#This Row],[RecoveredAmount]]</f>
        <v>0</v>
      </c>
      <c r="Q315" s="32">
        <f ca="1">ROUND(Table157[[#This Row],[Cash Flow]]/((1+ActualRateToUse)^(IF(ISNUMBER(SEARCH("Actual",$C$7)),Table157[[#This Row],[Running Total]]/365,Table157[[#This Row],[Period]]/12))),2)</f>
        <v>0</v>
      </c>
      <c r="R315" s="4">
        <f>IF(MONTH(Table157[[#This Row],[Date]])=2,28,DAY(DATE(YEAR(Table157[[#This Row],[Date]]),MONTH(Table157[[#This Row],[Date]])+1,1)-1))</f>
        <v>31</v>
      </c>
      <c r="S315" s="4">
        <f ca="1">SUM(OFFSET(Table157[[#Headers],[Days in month]],1,0):Table157[[#This Row],[Days in month]])</f>
        <v>9095</v>
      </c>
      <c r="T315" s="30">
        <f>InterestRate*AmortizationMultiplier*IF(ISNUMBER(SEARCH("Actual",$C$7)),Table157[[#This Row],[Days in month]]/365,1/12)</f>
        <v>2.9708333333333331E-3</v>
      </c>
    </row>
    <row r="316" spans="2:20" x14ac:dyDescent="0.2">
      <c r="B316" s="41">
        <f t="shared" si="14"/>
        <v>54969</v>
      </c>
      <c r="C316" s="4">
        <f t="shared" si="16"/>
        <v>300</v>
      </c>
      <c r="D316" s="32">
        <f t="shared" si="15"/>
        <v>0</v>
      </c>
      <c r="E316" s="32">
        <f>ROUND(Table157[[#This Row],[Beginning Balance]]*Table157[[#This Row],[Monthly Interest Rate]],2)</f>
        <v>0</v>
      </c>
      <c r="F316" s="32">
        <f t="shared" si="17"/>
        <v>-44</v>
      </c>
      <c r="G316" s="45">
        <f>IFERROR(IF($C$13="No","N/A",IF(Table157[[#This Row],[Period]]=1,$C$6,PMT(InterestRate*AmortizationMultiplier/12,Table157[[#This Row],[Am Thru]],-Table157[[#This Row],[Beginning Balance]]))),0)</f>
        <v>0</v>
      </c>
      <c r="H316" s="32">
        <f>MAX(0,IF(C316=$C$4,D316,ROUND(IF($C$3="Fixed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6" s="32">
        <f>ROUND(Table157[[#This Row],[Defaulted Principal]]*IF($C$9="No",$E$4,VLOOKUP(Table157[[#This Row],[Period]],[1]Forecast!$H$2:$L$1048576,3,FALSE)),2)</f>
        <v>0</v>
      </c>
      <c r="L316" s="4">
        <f>Table157[[#This Row],[Period]]+$E$9</f>
        <v>312</v>
      </c>
      <c r="M316" s="32">
        <f>Table157[[#This Row],[Defaulted Principal]]-Table157[[#This Row],[Estimated Loss]]</f>
        <v>0</v>
      </c>
      <c r="N316" s="32">
        <f>IFERROR(VLOOKUP(Table157[[#This Row],[Period]],$L$16:$M$385,2,FALSE),0)</f>
        <v>0</v>
      </c>
      <c r="O316" s="32">
        <f>Table157[[#This Row],[Beginning Balance]]-Table157[[#This Row],[Principal]]-Table157[[#This Row],[Prepayments]]-Table157[[#This Row],[Defaulted Principal]]</f>
        <v>0</v>
      </c>
      <c r="P316" s="32">
        <f>Table157[[#This Row],[Principal]]+Table157[[#This Row],[Interest]]+Table157[[#This Row],[Prepayments]]+Table157[[#This Row],[RecoveredAmount]]</f>
        <v>0</v>
      </c>
      <c r="Q316" s="32">
        <f ca="1">ROUND(Table157[[#This Row],[Cash Flow]]/((1+ActualRateToUse)^(IF(ISNUMBER(SEARCH("Actual",$C$7)),Table157[[#This Row],[Running Total]]/365,Table157[[#This Row],[Period]]/12))),2)</f>
        <v>0</v>
      </c>
      <c r="R316" s="4">
        <f>IF(MONTH(Table157[[#This Row],[Date]])=2,28,DAY(DATE(YEAR(Table157[[#This Row],[Date]]),MONTH(Table157[[#This Row],[Date]])+1,1)-1))</f>
        <v>30</v>
      </c>
      <c r="S316" s="4">
        <f ca="1">SUM(OFFSET(Table157[[#Headers],[Days in month]],1,0):Table157[[#This Row],[Days in month]])</f>
        <v>9125</v>
      </c>
      <c r="T316" s="30">
        <f>InterestRate*AmortizationMultiplier*IF(ISNUMBER(SEARCH("Actual",$C$7)),Table157[[#This Row],[Days in month]]/365,1/12)</f>
        <v>2.8749999999999995E-3</v>
      </c>
    </row>
    <row r="317" spans="2:20" x14ac:dyDescent="0.2">
      <c r="B317" s="41">
        <f t="shared" si="14"/>
        <v>55000</v>
      </c>
      <c r="C317" s="4">
        <f t="shared" si="16"/>
        <v>301</v>
      </c>
      <c r="D317" s="32">
        <f t="shared" si="15"/>
        <v>0</v>
      </c>
      <c r="E317" s="32">
        <f>ROUND(Table157[[#This Row],[Beginning Balance]]*Table157[[#This Row],[Monthly Interest Rate]],2)</f>
        <v>0</v>
      </c>
      <c r="F317" s="32">
        <f t="shared" si="17"/>
        <v>-45</v>
      </c>
      <c r="G317" s="45">
        <f>IFERROR(IF($C$13="No","N/A",IF(Table157[[#This Row],[Period]]=1,$C$6,PMT(InterestRate*AmortizationMultiplier/12,Table157[[#This Row],[Am Thru]],-Table157[[#This Row],[Beginning Balance]]))),0)</f>
        <v>0</v>
      </c>
      <c r="H317" s="32">
        <f>MAX(0,IF(C317=$C$4,D317,ROUND(IF($C$3="Fixed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7" s="32">
        <f>ROUND(Table157[[#This Row],[Defaulted Principal]]*IF($C$9="No",$E$4,VLOOKUP(Table157[[#This Row],[Period]],[1]Forecast!$H$2:$L$1048576,3,FALSE)),2)</f>
        <v>0</v>
      </c>
      <c r="L317" s="4">
        <f>Table157[[#This Row],[Period]]+$E$9</f>
        <v>313</v>
      </c>
      <c r="M317" s="32">
        <f>Table157[[#This Row],[Defaulted Principal]]-Table157[[#This Row],[Estimated Loss]]</f>
        <v>0</v>
      </c>
      <c r="N317" s="32">
        <f>IFERROR(VLOOKUP(Table157[[#This Row],[Period]],$L$16:$M$385,2,FALSE),0)</f>
        <v>0</v>
      </c>
      <c r="O317" s="32">
        <f>Table157[[#This Row],[Beginning Balance]]-Table157[[#This Row],[Principal]]-Table157[[#This Row],[Prepayments]]-Table157[[#This Row],[Defaulted Principal]]</f>
        <v>0</v>
      </c>
      <c r="P317" s="32">
        <f>Table157[[#This Row],[Principal]]+Table157[[#This Row],[Interest]]+Table157[[#This Row],[Prepayments]]+Table157[[#This Row],[RecoveredAmount]]</f>
        <v>0</v>
      </c>
      <c r="Q317" s="32">
        <f ca="1">ROUND(Table157[[#This Row],[Cash Flow]]/((1+ActualRateToUse)^(IF(ISNUMBER(SEARCH("Actual",$C$7)),Table157[[#This Row],[Running Total]]/365,Table157[[#This Row],[Period]]/12))),2)</f>
        <v>0</v>
      </c>
      <c r="R317" s="4">
        <f>IF(MONTH(Table157[[#This Row],[Date]])=2,28,DAY(DATE(YEAR(Table157[[#This Row],[Date]]),MONTH(Table157[[#This Row],[Date]])+1,1)-1))</f>
        <v>31</v>
      </c>
      <c r="S317" s="4">
        <f ca="1">SUM(OFFSET(Table157[[#Headers],[Days in month]],1,0):Table157[[#This Row],[Days in month]])</f>
        <v>9156</v>
      </c>
      <c r="T317" s="30">
        <f>InterestRate*AmortizationMultiplier*IF(ISNUMBER(SEARCH("Actual",$C$7)),Table157[[#This Row],[Days in month]]/365,1/12)</f>
        <v>2.9708333333333331E-3</v>
      </c>
    </row>
    <row r="318" spans="2:20" x14ac:dyDescent="0.2">
      <c r="B318" s="41">
        <f t="shared" si="14"/>
        <v>55031</v>
      </c>
      <c r="C318" s="4">
        <f t="shared" si="16"/>
        <v>302</v>
      </c>
      <c r="D318" s="32">
        <f t="shared" si="15"/>
        <v>0</v>
      </c>
      <c r="E318" s="32">
        <f>ROUND(Table157[[#This Row],[Beginning Balance]]*Table157[[#This Row],[Monthly Interest Rate]],2)</f>
        <v>0</v>
      </c>
      <c r="F318" s="32">
        <f t="shared" si="17"/>
        <v>-46</v>
      </c>
      <c r="G318" s="45">
        <f>IFERROR(IF($C$13="No","N/A",IF(Table157[[#This Row],[Period]]=1,$C$6,PMT(InterestRate*AmortizationMultiplier/12,Table157[[#This Row],[Am Thru]],-Table157[[#This Row],[Beginning Balance]]))),0)</f>
        <v>0</v>
      </c>
      <c r="H318" s="32">
        <f>MAX(0,IF(C318=$C$4,D318,ROUND(IF($C$3="Fixed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8" s="32">
        <f>ROUND(Table157[[#This Row],[Defaulted Principal]]*IF($C$9="No",$E$4,VLOOKUP(Table157[[#This Row],[Period]],[1]Forecast!$H$2:$L$1048576,3,FALSE)),2)</f>
        <v>0</v>
      </c>
      <c r="L318" s="4">
        <f>Table157[[#This Row],[Period]]+$E$9</f>
        <v>314</v>
      </c>
      <c r="M318" s="32">
        <f>Table157[[#This Row],[Defaulted Principal]]-Table157[[#This Row],[Estimated Loss]]</f>
        <v>0</v>
      </c>
      <c r="N318" s="32">
        <f>IFERROR(VLOOKUP(Table157[[#This Row],[Period]],$L$16:$M$385,2,FALSE),0)</f>
        <v>0</v>
      </c>
      <c r="O318" s="32">
        <f>Table157[[#This Row],[Beginning Balance]]-Table157[[#This Row],[Principal]]-Table157[[#This Row],[Prepayments]]-Table157[[#This Row],[Defaulted Principal]]</f>
        <v>0</v>
      </c>
      <c r="P318" s="32">
        <f>Table157[[#This Row],[Principal]]+Table157[[#This Row],[Interest]]+Table157[[#This Row],[Prepayments]]+Table157[[#This Row],[RecoveredAmount]]</f>
        <v>0</v>
      </c>
      <c r="Q318" s="32">
        <f ca="1">ROUND(Table157[[#This Row],[Cash Flow]]/((1+ActualRateToUse)^(IF(ISNUMBER(SEARCH("Actual",$C$7)),Table157[[#This Row],[Running Total]]/365,Table157[[#This Row],[Period]]/12))),2)</f>
        <v>0</v>
      </c>
      <c r="R318" s="4">
        <f>IF(MONTH(Table157[[#This Row],[Date]])=2,28,DAY(DATE(YEAR(Table157[[#This Row],[Date]]),MONTH(Table157[[#This Row],[Date]])+1,1)-1))</f>
        <v>31</v>
      </c>
      <c r="S318" s="4">
        <f ca="1">SUM(OFFSET(Table157[[#Headers],[Days in month]],1,0):Table157[[#This Row],[Days in month]])</f>
        <v>9187</v>
      </c>
      <c r="T318" s="30">
        <f>InterestRate*AmortizationMultiplier*IF(ISNUMBER(SEARCH("Actual",$C$7)),Table157[[#This Row],[Days in month]]/365,1/12)</f>
        <v>2.9708333333333331E-3</v>
      </c>
    </row>
    <row r="319" spans="2:20" x14ac:dyDescent="0.2">
      <c r="B319" s="41">
        <f t="shared" si="14"/>
        <v>55061</v>
      </c>
      <c r="C319" s="4">
        <f t="shared" si="16"/>
        <v>303</v>
      </c>
      <c r="D319" s="32">
        <f t="shared" si="15"/>
        <v>0</v>
      </c>
      <c r="E319" s="32">
        <f>ROUND(Table157[[#This Row],[Beginning Balance]]*Table157[[#This Row],[Monthly Interest Rate]],2)</f>
        <v>0</v>
      </c>
      <c r="F319" s="32">
        <f t="shared" si="17"/>
        <v>-47</v>
      </c>
      <c r="G319" s="45">
        <f>IFERROR(IF($C$13="No","N/A",IF(Table157[[#This Row],[Period]]=1,$C$6,PMT(InterestRate*AmortizationMultiplier/12,Table157[[#This Row],[Am Thru]],-Table157[[#This Row],[Beginning Balance]]))),0)</f>
        <v>0</v>
      </c>
      <c r="H319" s="32">
        <f>MAX(0,IF(C319=$C$4,D319,ROUND(IF($C$3="Fixed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1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1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19" s="32">
        <f>ROUND(Table157[[#This Row],[Defaulted Principal]]*IF($C$9="No",$E$4,VLOOKUP(Table157[[#This Row],[Period]],[1]Forecast!$H$2:$L$1048576,3,FALSE)),2)</f>
        <v>0</v>
      </c>
      <c r="L319" s="4">
        <f>Table157[[#This Row],[Period]]+$E$9</f>
        <v>315</v>
      </c>
      <c r="M319" s="32">
        <f>Table157[[#This Row],[Defaulted Principal]]-Table157[[#This Row],[Estimated Loss]]</f>
        <v>0</v>
      </c>
      <c r="N319" s="32">
        <f>IFERROR(VLOOKUP(Table157[[#This Row],[Period]],$L$16:$M$385,2,FALSE),0)</f>
        <v>0</v>
      </c>
      <c r="O319" s="32">
        <f>Table157[[#This Row],[Beginning Balance]]-Table157[[#This Row],[Principal]]-Table157[[#This Row],[Prepayments]]-Table157[[#This Row],[Defaulted Principal]]</f>
        <v>0</v>
      </c>
      <c r="P319" s="32">
        <f>Table157[[#This Row],[Principal]]+Table157[[#This Row],[Interest]]+Table157[[#This Row],[Prepayments]]+Table157[[#This Row],[RecoveredAmount]]</f>
        <v>0</v>
      </c>
      <c r="Q319" s="32">
        <f ca="1">ROUND(Table157[[#This Row],[Cash Flow]]/((1+ActualRateToUse)^(IF(ISNUMBER(SEARCH("Actual",$C$7)),Table157[[#This Row],[Running Total]]/365,Table157[[#This Row],[Period]]/12))),2)</f>
        <v>0</v>
      </c>
      <c r="R319" s="4">
        <f>IF(MONTH(Table157[[#This Row],[Date]])=2,28,DAY(DATE(YEAR(Table157[[#This Row],[Date]]),MONTH(Table157[[#This Row],[Date]])+1,1)-1))</f>
        <v>30</v>
      </c>
      <c r="S319" s="4">
        <f ca="1">SUM(OFFSET(Table157[[#Headers],[Days in month]],1,0):Table157[[#This Row],[Days in month]])</f>
        <v>9217</v>
      </c>
      <c r="T319" s="30">
        <f>InterestRate*AmortizationMultiplier*IF(ISNUMBER(SEARCH("Actual",$C$7)),Table157[[#This Row],[Days in month]]/365,1/12)</f>
        <v>2.8749999999999995E-3</v>
      </c>
    </row>
    <row r="320" spans="2:20" x14ac:dyDescent="0.2">
      <c r="B320" s="41">
        <f t="shared" si="14"/>
        <v>55092</v>
      </c>
      <c r="C320" s="4">
        <f t="shared" si="16"/>
        <v>304</v>
      </c>
      <c r="D320" s="32">
        <f t="shared" si="15"/>
        <v>0</v>
      </c>
      <c r="E320" s="32">
        <f>ROUND(Table157[[#This Row],[Beginning Balance]]*Table157[[#This Row],[Monthly Interest Rate]],2)</f>
        <v>0</v>
      </c>
      <c r="F320" s="32">
        <f t="shared" si="17"/>
        <v>-48</v>
      </c>
      <c r="G320" s="45">
        <f>IFERROR(IF($C$13="No","N/A",IF(Table157[[#This Row],[Period]]=1,$C$6,PMT(InterestRate*AmortizationMultiplier/12,Table157[[#This Row],[Am Thru]],-Table157[[#This Row],[Beginning Balance]]))),0)</f>
        <v>0</v>
      </c>
      <c r="H320" s="32">
        <f>MAX(0,IF(C320=$C$4,D320,ROUND(IF($C$3="Fixed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0" s="32">
        <f>ROUND(Table157[[#This Row],[Defaulted Principal]]*IF($C$9="No",$E$4,VLOOKUP(Table157[[#This Row],[Period]],[1]Forecast!$H$2:$L$1048576,3,FALSE)),2)</f>
        <v>0</v>
      </c>
      <c r="L320" s="4">
        <f>Table157[[#This Row],[Period]]+$E$9</f>
        <v>316</v>
      </c>
      <c r="M320" s="32">
        <f>Table157[[#This Row],[Defaulted Principal]]-Table157[[#This Row],[Estimated Loss]]</f>
        <v>0</v>
      </c>
      <c r="N320" s="32">
        <f>IFERROR(VLOOKUP(Table157[[#This Row],[Period]],$L$16:$M$385,2,FALSE),0)</f>
        <v>0</v>
      </c>
      <c r="O320" s="32">
        <f>Table157[[#This Row],[Beginning Balance]]-Table157[[#This Row],[Principal]]-Table157[[#This Row],[Prepayments]]-Table157[[#This Row],[Defaulted Principal]]</f>
        <v>0</v>
      </c>
      <c r="P320" s="32">
        <f>Table157[[#This Row],[Principal]]+Table157[[#This Row],[Interest]]+Table157[[#This Row],[Prepayments]]+Table157[[#This Row],[RecoveredAmount]]</f>
        <v>0</v>
      </c>
      <c r="Q320" s="32">
        <f ca="1">ROUND(Table157[[#This Row],[Cash Flow]]/((1+ActualRateToUse)^(IF(ISNUMBER(SEARCH("Actual",$C$7)),Table157[[#This Row],[Running Total]]/365,Table157[[#This Row],[Period]]/12))),2)</f>
        <v>0</v>
      </c>
      <c r="R320" s="4">
        <f>IF(MONTH(Table157[[#This Row],[Date]])=2,28,DAY(DATE(YEAR(Table157[[#This Row],[Date]]),MONTH(Table157[[#This Row],[Date]])+1,1)-1))</f>
        <v>31</v>
      </c>
      <c r="S320" s="4">
        <f ca="1">SUM(OFFSET(Table157[[#Headers],[Days in month]],1,0):Table157[[#This Row],[Days in month]])</f>
        <v>9248</v>
      </c>
      <c r="T320" s="30">
        <f>InterestRate*AmortizationMultiplier*IF(ISNUMBER(SEARCH("Actual",$C$7)),Table157[[#This Row],[Days in month]]/365,1/12)</f>
        <v>2.9708333333333331E-3</v>
      </c>
    </row>
    <row r="321" spans="2:20" x14ac:dyDescent="0.2">
      <c r="B321" s="41">
        <f t="shared" si="14"/>
        <v>55122</v>
      </c>
      <c r="C321" s="4">
        <f t="shared" si="16"/>
        <v>305</v>
      </c>
      <c r="D321" s="32">
        <f t="shared" si="15"/>
        <v>0</v>
      </c>
      <c r="E321" s="32">
        <f>ROUND(Table157[[#This Row],[Beginning Balance]]*Table157[[#This Row],[Monthly Interest Rate]],2)</f>
        <v>0</v>
      </c>
      <c r="F321" s="32">
        <f t="shared" si="17"/>
        <v>-49</v>
      </c>
      <c r="G321" s="45">
        <f>IFERROR(IF($C$13="No","N/A",IF(Table157[[#This Row],[Period]]=1,$C$6,PMT(InterestRate*AmortizationMultiplier/12,Table157[[#This Row],[Am Thru]],-Table157[[#This Row],[Beginning Balance]]))),0)</f>
        <v>0</v>
      </c>
      <c r="H321" s="32">
        <f>MAX(0,IF(C321=$C$4,D321,ROUND(IF($C$3="Fixed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1" s="32">
        <f>ROUND(Table157[[#This Row],[Defaulted Principal]]*IF($C$9="No",$E$4,VLOOKUP(Table157[[#This Row],[Period]],[1]Forecast!$H$2:$L$1048576,3,FALSE)),2)</f>
        <v>0</v>
      </c>
      <c r="L321" s="4">
        <f>Table157[[#This Row],[Period]]+$E$9</f>
        <v>317</v>
      </c>
      <c r="M321" s="32">
        <f>Table157[[#This Row],[Defaulted Principal]]-Table157[[#This Row],[Estimated Loss]]</f>
        <v>0</v>
      </c>
      <c r="N321" s="32">
        <f>IFERROR(VLOOKUP(Table157[[#This Row],[Period]],$L$16:$M$385,2,FALSE),0)</f>
        <v>0</v>
      </c>
      <c r="O321" s="32">
        <f>Table157[[#This Row],[Beginning Balance]]-Table157[[#This Row],[Principal]]-Table157[[#This Row],[Prepayments]]-Table157[[#This Row],[Defaulted Principal]]</f>
        <v>0</v>
      </c>
      <c r="P321" s="32">
        <f>Table157[[#This Row],[Principal]]+Table157[[#This Row],[Interest]]+Table157[[#This Row],[Prepayments]]+Table157[[#This Row],[RecoveredAmount]]</f>
        <v>0</v>
      </c>
      <c r="Q321" s="32">
        <f ca="1">ROUND(Table157[[#This Row],[Cash Flow]]/((1+ActualRateToUse)^(IF(ISNUMBER(SEARCH("Actual",$C$7)),Table157[[#This Row],[Running Total]]/365,Table157[[#This Row],[Period]]/12))),2)</f>
        <v>0</v>
      </c>
      <c r="R321" s="4">
        <f>IF(MONTH(Table157[[#This Row],[Date]])=2,28,DAY(DATE(YEAR(Table157[[#This Row],[Date]]),MONTH(Table157[[#This Row],[Date]])+1,1)-1))</f>
        <v>30</v>
      </c>
      <c r="S321" s="4">
        <f ca="1">SUM(OFFSET(Table157[[#Headers],[Days in month]],1,0):Table157[[#This Row],[Days in month]])</f>
        <v>9278</v>
      </c>
      <c r="T321" s="30">
        <f>InterestRate*AmortizationMultiplier*IF(ISNUMBER(SEARCH("Actual",$C$7)),Table157[[#This Row],[Days in month]]/365,1/12)</f>
        <v>2.8749999999999995E-3</v>
      </c>
    </row>
    <row r="322" spans="2:20" x14ac:dyDescent="0.2">
      <c r="B322" s="41">
        <f t="shared" si="14"/>
        <v>55153</v>
      </c>
      <c r="C322" s="4">
        <f t="shared" si="16"/>
        <v>306</v>
      </c>
      <c r="D322" s="32">
        <f t="shared" si="15"/>
        <v>0</v>
      </c>
      <c r="E322" s="32">
        <f>ROUND(Table157[[#This Row],[Beginning Balance]]*Table157[[#This Row],[Monthly Interest Rate]],2)</f>
        <v>0</v>
      </c>
      <c r="F322" s="32">
        <f t="shared" si="17"/>
        <v>-50</v>
      </c>
      <c r="G322" s="45">
        <f>IFERROR(IF($C$13="No","N/A",IF(Table157[[#This Row],[Period]]=1,$C$6,PMT(InterestRate*AmortizationMultiplier/12,Table157[[#This Row],[Am Thru]],-Table157[[#This Row],[Beginning Balance]]))),0)</f>
        <v>0</v>
      </c>
      <c r="H322" s="32">
        <f>MAX(0,IF(C322=$C$4,D322,ROUND(IF($C$3="Fixed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2" s="32">
        <f>ROUND(Table157[[#This Row],[Defaulted Principal]]*IF($C$9="No",$E$4,VLOOKUP(Table157[[#This Row],[Period]],[1]Forecast!$H$2:$L$1048576,3,FALSE)),2)</f>
        <v>0</v>
      </c>
      <c r="L322" s="4">
        <f>Table157[[#This Row],[Period]]+$E$9</f>
        <v>318</v>
      </c>
      <c r="M322" s="32">
        <f>Table157[[#This Row],[Defaulted Principal]]-Table157[[#This Row],[Estimated Loss]]</f>
        <v>0</v>
      </c>
      <c r="N322" s="32">
        <f>IFERROR(VLOOKUP(Table157[[#This Row],[Period]],$L$16:$M$385,2,FALSE),0)</f>
        <v>0</v>
      </c>
      <c r="O322" s="32">
        <f>Table157[[#This Row],[Beginning Balance]]-Table157[[#This Row],[Principal]]-Table157[[#This Row],[Prepayments]]-Table157[[#This Row],[Defaulted Principal]]</f>
        <v>0</v>
      </c>
      <c r="P322" s="32">
        <f>Table157[[#This Row],[Principal]]+Table157[[#This Row],[Interest]]+Table157[[#This Row],[Prepayments]]+Table157[[#This Row],[RecoveredAmount]]</f>
        <v>0</v>
      </c>
      <c r="Q322" s="32">
        <f ca="1">ROUND(Table157[[#This Row],[Cash Flow]]/((1+ActualRateToUse)^(IF(ISNUMBER(SEARCH("Actual",$C$7)),Table157[[#This Row],[Running Total]]/365,Table157[[#This Row],[Period]]/12))),2)</f>
        <v>0</v>
      </c>
      <c r="R322" s="4">
        <f>IF(MONTH(Table157[[#This Row],[Date]])=2,28,DAY(DATE(YEAR(Table157[[#This Row],[Date]]),MONTH(Table157[[#This Row],[Date]])+1,1)-1))</f>
        <v>31</v>
      </c>
      <c r="S322" s="4">
        <f ca="1">SUM(OFFSET(Table157[[#Headers],[Days in month]],1,0):Table157[[#This Row],[Days in month]])</f>
        <v>9309</v>
      </c>
      <c r="T322" s="30">
        <f>InterestRate*AmortizationMultiplier*IF(ISNUMBER(SEARCH("Actual",$C$7)),Table157[[#This Row],[Days in month]]/365,1/12)</f>
        <v>2.9708333333333331E-3</v>
      </c>
    </row>
    <row r="323" spans="2:20" x14ac:dyDescent="0.2">
      <c r="B323" s="41">
        <f t="shared" si="14"/>
        <v>55184</v>
      </c>
      <c r="C323" s="4">
        <f t="shared" si="16"/>
        <v>307</v>
      </c>
      <c r="D323" s="32">
        <f t="shared" si="15"/>
        <v>0</v>
      </c>
      <c r="E323" s="32">
        <f>ROUND(Table157[[#This Row],[Beginning Balance]]*Table157[[#This Row],[Monthly Interest Rate]],2)</f>
        <v>0</v>
      </c>
      <c r="F323" s="32">
        <f t="shared" si="17"/>
        <v>-51</v>
      </c>
      <c r="G323" s="45">
        <f>IFERROR(IF($C$13="No","N/A",IF(Table157[[#This Row],[Period]]=1,$C$6,PMT(InterestRate*AmortizationMultiplier/12,Table157[[#This Row],[Am Thru]],-Table157[[#This Row],[Beginning Balance]]))),0)</f>
        <v>0</v>
      </c>
      <c r="H323" s="32">
        <f>MAX(0,IF(C323=$C$4,D323,ROUND(IF($C$3="Fixed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3" s="32">
        <f>ROUND(Table157[[#This Row],[Defaulted Principal]]*IF($C$9="No",$E$4,VLOOKUP(Table157[[#This Row],[Period]],[1]Forecast!$H$2:$L$1048576,3,FALSE)),2)</f>
        <v>0</v>
      </c>
      <c r="L323" s="4">
        <f>Table157[[#This Row],[Period]]+$E$9</f>
        <v>319</v>
      </c>
      <c r="M323" s="32">
        <f>Table157[[#This Row],[Defaulted Principal]]-Table157[[#This Row],[Estimated Loss]]</f>
        <v>0</v>
      </c>
      <c r="N323" s="32">
        <f>IFERROR(VLOOKUP(Table157[[#This Row],[Period]],$L$16:$M$385,2,FALSE),0)</f>
        <v>0</v>
      </c>
      <c r="O323" s="32">
        <f>Table157[[#This Row],[Beginning Balance]]-Table157[[#This Row],[Principal]]-Table157[[#This Row],[Prepayments]]-Table157[[#This Row],[Defaulted Principal]]</f>
        <v>0</v>
      </c>
      <c r="P323" s="32">
        <f>Table157[[#This Row],[Principal]]+Table157[[#This Row],[Interest]]+Table157[[#This Row],[Prepayments]]+Table157[[#This Row],[RecoveredAmount]]</f>
        <v>0</v>
      </c>
      <c r="Q323" s="32">
        <f ca="1">ROUND(Table157[[#This Row],[Cash Flow]]/((1+ActualRateToUse)^(IF(ISNUMBER(SEARCH("Actual",$C$7)),Table157[[#This Row],[Running Total]]/365,Table157[[#This Row],[Period]]/12))),2)</f>
        <v>0</v>
      </c>
      <c r="R323" s="4">
        <f>IF(MONTH(Table157[[#This Row],[Date]])=2,28,DAY(DATE(YEAR(Table157[[#This Row],[Date]]),MONTH(Table157[[#This Row],[Date]])+1,1)-1))</f>
        <v>31</v>
      </c>
      <c r="S323" s="4">
        <f ca="1">SUM(OFFSET(Table157[[#Headers],[Days in month]],1,0):Table157[[#This Row],[Days in month]])</f>
        <v>9340</v>
      </c>
      <c r="T323" s="30">
        <f>InterestRate*AmortizationMultiplier*IF(ISNUMBER(SEARCH("Actual",$C$7)),Table157[[#This Row],[Days in month]]/365,1/12)</f>
        <v>2.9708333333333331E-3</v>
      </c>
    </row>
    <row r="324" spans="2:20" x14ac:dyDescent="0.2">
      <c r="B324" s="41">
        <f t="shared" si="14"/>
        <v>55212</v>
      </c>
      <c r="C324" s="4">
        <f t="shared" si="16"/>
        <v>308</v>
      </c>
      <c r="D324" s="32">
        <f t="shared" si="15"/>
        <v>0</v>
      </c>
      <c r="E324" s="32">
        <f>ROUND(Table157[[#This Row],[Beginning Balance]]*Table157[[#This Row],[Monthly Interest Rate]],2)</f>
        <v>0</v>
      </c>
      <c r="F324" s="32">
        <f t="shared" si="17"/>
        <v>-52</v>
      </c>
      <c r="G324" s="45">
        <f>IFERROR(IF($C$13="No","N/A",IF(Table157[[#This Row],[Period]]=1,$C$6,PMT(InterestRate*AmortizationMultiplier/12,Table157[[#This Row],[Am Thru]],-Table157[[#This Row],[Beginning Balance]]))),0)</f>
        <v>0</v>
      </c>
      <c r="H324" s="32">
        <f>MAX(0,IF(C324=$C$4,D324,ROUND(IF($C$3="Fixed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4" s="32">
        <f>ROUND(Table157[[#This Row],[Defaulted Principal]]*IF($C$9="No",$E$4,VLOOKUP(Table157[[#This Row],[Period]],[1]Forecast!$H$2:$L$1048576,3,FALSE)),2)</f>
        <v>0</v>
      </c>
      <c r="L324" s="4">
        <f>Table157[[#This Row],[Period]]+$E$9</f>
        <v>320</v>
      </c>
      <c r="M324" s="32">
        <f>Table157[[#This Row],[Defaulted Principal]]-Table157[[#This Row],[Estimated Loss]]</f>
        <v>0</v>
      </c>
      <c r="N324" s="32">
        <f>IFERROR(VLOOKUP(Table157[[#This Row],[Period]],$L$16:$M$385,2,FALSE),0)</f>
        <v>0</v>
      </c>
      <c r="O324" s="32">
        <f>Table157[[#This Row],[Beginning Balance]]-Table157[[#This Row],[Principal]]-Table157[[#This Row],[Prepayments]]-Table157[[#This Row],[Defaulted Principal]]</f>
        <v>0</v>
      </c>
      <c r="P324" s="32">
        <f>Table157[[#This Row],[Principal]]+Table157[[#This Row],[Interest]]+Table157[[#This Row],[Prepayments]]+Table157[[#This Row],[RecoveredAmount]]</f>
        <v>0</v>
      </c>
      <c r="Q324" s="32">
        <f ca="1">ROUND(Table157[[#This Row],[Cash Flow]]/((1+ActualRateToUse)^(IF(ISNUMBER(SEARCH("Actual",$C$7)),Table157[[#This Row],[Running Total]]/365,Table157[[#This Row],[Period]]/12))),2)</f>
        <v>0</v>
      </c>
      <c r="R324" s="4">
        <f>IF(MONTH(Table157[[#This Row],[Date]])=2,28,DAY(DATE(YEAR(Table157[[#This Row],[Date]]),MONTH(Table157[[#This Row],[Date]])+1,1)-1))</f>
        <v>28</v>
      </c>
      <c r="S324" s="4">
        <f ca="1">SUM(OFFSET(Table157[[#Headers],[Days in month]],1,0):Table157[[#This Row],[Days in month]])</f>
        <v>9368</v>
      </c>
      <c r="T324" s="30">
        <f>InterestRate*AmortizationMultiplier*IF(ISNUMBER(SEARCH("Actual",$C$7)),Table157[[#This Row],[Days in month]]/365,1/12)</f>
        <v>2.6833333333333336E-3</v>
      </c>
    </row>
    <row r="325" spans="2:20" x14ac:dyDescent="0.2">
      <c r="B325" s="41">
        <f t="shared" si="14"/>
        <v>55243</v>
      </c>
      <c r="C325" s="4">
        <f t="shared" si="16"/>
        <v>309</v>
      </c>
      <c r="D325" s="32">
        <f t="shared" si="15"/>
        <v>0</v>
      </c>
      <c r="E325" s="32">
        <f>ROUND(Table157[[#This Row],[Beginning Balance]]*Table157[[#This Row],[Monthly Interest Rate]],2)</f>
        <v>0</v>
      </c>
      <c r="F325" s="32">
        <f t="shared" si="17"/>
        <v>-53</v>
      </c>
      <c r="G325" s="45">
        <f>IFERROR(IF($C$13="No","N/A",IF(Table157[[#This Row],[Period]]=1,$C$6,PMT(InterestRate*AmortizationMultiplier/12,Table157[[#This Row],[Am Thru]],-Table157[[#This Row],[Beginning Balance]]))),0)</f>
        <v>0</v>
      </c>
      <c r="H325" s="32">
        <f>MAX(0,IF(C325=$C$4,D325,ROUND(IF($C$3="Fixed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5" s="32">
        <f>ROUND(Table157[[#This Row],[Defaulted Principal]]*IF($C$9="No",$E$4,VLOOKUP(Table157[[#This Row],[Period]],[1]Forecast!$H$2:$L$1048576,3,FALSE)),2)</f>
        <v>0</v>
      </c>
      <c r="L325" s="4">
        <f>Table157[[#This Row],[Period]]+$E$9</f>
        <v>321</v>
      </c>
      <c r="M325" s="32">
        <f>Table157[[#This Row],[Defaulted Principal]]-Table157[[#This Row],[Estimated Loss]]</f>
        <v>0</v>
      </c>
      <c r="N325" s="32">
        <f>IFERROR(VLOOKUP(Table157[[#This Row],[Period]],$L$16:$M$385,2,FALSE),0)</f>
        <v>0</v>
      </c>
      <c r="O325" s="32">
        <f>Table157[[#This Row],[Beginning Balance]]-Table157[[#This Row],[Principal]]-Table157[[#This Row],[Prepayments]]-Table157[[#This Row],[Defaulted Principal]]</f>
        <v>0</v>
      </c>
      <c r="P325" s="32">
        <f>Table157[[#This Row],[Principal]]+Table157[[#This Row],[Interest]]+Table157[[#This Row],[Prepayments]]+Table157[[#This Row],[RecoveredAmount]]</f>
        <v>0</v>
      </c>
      <c r="Q325" s="32">
        <f ca="1">ROUND(Table157[[#This Row],[Cash Flow]]/((1+ActualRateToUse)^(IF(ISNUMBER(SEARCH("Actual",$C$7)),Table157[[#This Row],[Running Total]]/365,Table157[[#This Row],[Period]]/12))),2)</f>
        <v>0</v>
      </c>
      <c r="R325" s="4">
        <f>IF(MONTH(Table157[[#This Row],[Date]])=2,28,DAY(DATE(YEAR(Table157[[#This Row],[Date]]),MONTH(Table157[[#This Row],[Date]])+1,1)-1))</f>
        <v>31</v>
      </c>
      <c r="S325" s="4">
        <f ca="1">SUM(OFFSET(Table157[[#Headers],[Days in month]],1,0):Table157[[#This Row],[Days in month]])</f>
        <v>9399</v>
      </c>
      <c r="T325" s="30">
        <f>InterestRate*AmortizationMultiplier*IF(ISNUMBER(SEARCH("Actual",$C$7)),Table157[[#This Row],[Days in month]]/365,1/12)</f>
        <v>2.9708333333333331E-3</v>
      </c>
    </row>
    <row r="326" spans="2:20" x14ac:dyDescent="0.2">
      <c r="B326" s="41">
        <f t="shared" si="14"/>
        <v>55273</v>
      </c>
      <c r="C326" s="4">
        <f t="shared" si="16"/>
        <v>310</v>
      </c>
      <c r="D326" s="32">
        <f t="shared" si="15"/>
        <v>0</v>
      </c>
      <c r="E326" s="32">
        <f>ROUND(Table157[[#This Row],[Beginning Balance]]*Table157[[#This Row],[Monthly Interest Rate]],2)</f>
        <v>0</v>
      </c>
      <c r="F326" s="32">
        <f t="shared" si="17"/>
        <v>-54</v>
      </c>
      <c r="G326" s="45">
        <f>IFERROR(IF($C$13="No","N/A",IF(Table157[[#This Row],[Period]]=1,$C$6,PMT(InterestRate*AmortizationMultiplier/12,Table157[[#This Row],[Am Thru]],-Table157[[#This Row],[Beginning Balance]]))),0)</f>
        <v>0</v>
      </c>
      <c r="H326" s="32">
        <f>MAX(0,IF(C326=$C$4,D326,ROUND(IF($C$3="Fixed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6" s="32">
        <f>ROUND(Table157[[#This Row],[Defaulted Principal]]*IF($C$9="No",$E$4,VLOOKUP(Table157[[#This Row],[Period]],[1]Forecast!$H$2:$L$1048576,3,FALSE)),2)</f>
        <v>0</v>
      </c>
      <c r="L326" s="4">
        <f>Table157[[#This Row],[Period]]+$E$9</f>
        <v>322</v>
      </c>
      <c r="M326" s="32">
        <f>Table157[[#This Row],[Defaulted Principal]]-Table157[[#This Row],[Estimated Loss]]</f>
        <v>0</v>
      </c>
      <c r="N326" s="32">
        <f>IFERROR(VLOOKUP(Table157[[#This Row],[Period]],$L$16:$M$385,2,FALSE),0)</f>
        <v>0</v>
      </c>
      <c r="O326" s="32">
        <f>Table157[[#This Row],[Beginning Balance]]-Table157[[#This Row],[Principal]]-Table157[[#This Row],[Prepayments]]-Table157[[#This Row],[Defaulted Principal]]</f>
        <v>0</v>
      </c>
      <c r="P326" s="32">
        <f>Table157[[#This Row],[Principal]]+Table157[[#This Row],[Interest]]+Table157[[#This Row],[Prepayments]]+Table157[[#This Row],[RecoveredAmount]]</f>
        <v>0</v>
      </c>
      <c r="Q326" s="32">
        <f ca="1">ROUND(Table157[[#This Row],[Cash Flow]]/((1+ActualRateToUse)^(IF(ISNUMBER(SEARCH("Actual",$C$7)),Table157[[#This Row],[Running Total]]/365,Table157[[#This Row],[Period]]/12))),2)</f>
        <v>0</v>
      </c>
      <c r="R326" s="4">
        <f>IF(MONTH(Table157[[#This Row],[Date]])=2,28,DAY(DATE(YEAR(Table157[[#This Row],[Date]]),MONTH(Table157[[#This Row],[Date]])+1,1)-1))</f>
        <v>30</v>
      </c>
      <c r="S326" s="4">
        <f ca="1">SUM(OFFSET(Table157[[#Headers],[Days in month]],1,0):Table157[[#This Row],[Days in month]])</f>
        <v>9429</v>
      </c>
      <c r="T326" s="30">
        <f>InterestRate*AmortizationMultiplier*IF(ISNUMBER(SEARCH("Actual",$C$7)),Table157[[#This Row],[Days in month]]/365,1/12)</f>
        <v>2.8749999999999995E-3</v>
      </c>
    </row>
    <row r="327" spans="2:20" x14ac:dyDescent="0.2">
      <c r="B327" s="41">
        <f t="shared" si="14"/>
        <v>55304</v>
      </c>
      <c r="C327" s="4">
        <f t="shared" si="16"/>
        <v>311</v>
      </c>
      <c r="D327" s="32">
        <f t="shared" si="15"/>
        <v>0</v>
      </c>
      <c r="E327" s="32">
        <f>ROUND(Table157[[#This Row],[Beginning Balance]]*Table157[[#This Row],[Monthly Interest Rate]],2)</f>
        <v>0</v>
      </c>
      <c r="F327" s="32">
        <f t="shared" si="17"/>
        <v>-55</v>
      </c>
      <c r="G327" s="45">
        <f>IFERROR(IF($C$13="No","N/A",IF(Table157[[#This Row],[Period]]=1,$C$6,PMT(InterestRate*AmortizationMultiplier/12,Table157[[#This Row],[Am Thru]],-Table157[[#This Row],[Beginning Balance]]))),0)</f>
        <v>0</v>
      </c>
      <c r="H327" s="32">
        <f>MAX(0,IF(C327=$C$4,D327,ROUND(IF($C$3="Fixed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7" s="32">
        <f>ROUND(Table157[[#This Row],[Defaulted Principal]]*IF($C$9="No",$E$4,VLOOKUP(Table157[[#This Row],[Period]],[1]Forecast!$H$2:$L$1048576,3,FALSE)),2)</f>
        <v>0</v>
      </c>
      <c r="L327" s="4">
        <f>Table157[[#This Row],[Period]]+$E$9</f>
        <v>323</v>
      </c>
      <c r="M327" s="32">
        <f>Table157[[#This Row],[Defaulted Principal]]-Table157[[#This Row],[Estimated Loss]]</f>
        <v>0</v>
      </c>
      <c r="N327" s="32">
        <f>IFERROR(VLOOKUP(Table157[[#This Row],[Period]],$L$16:$M$385,2,FALSE),0)</f>
        <v>0</v>
      </c>
      <c r="O327" s="32">
        <f>Table157[[#This Row],[Beginning Balance]]-Table157[[#This Row],[Principal]]-Table157[[#This Row],[Prepayments]]-Table157[[#This Row],[Defaulted Principal]]</f>
        <v>0</v>
      </c>
      <c r="P327" s="32">
        <f>Table157[[#This Row],[Principal]]+Table157[[#This Row],[Interest]]+Table157[[#This Row],[Prepayments]]+Table157[[#This Row],[RecoveredAmount]]</f>
        <v>0</v>
      </c>
      <c r="Q327" s="32">
        <f ca="1">ROUND(Table157[[#This Row],[Cash Flow]]/((1+ActualRateToUse)^(IF(ISNUMBER(SEARCH("Actual",$C$7)),Table157[[#This Row],[Running Total]]/365,Table157[[#This Row],[Period]]/12))),2)</f>
        <v>0</v>
      </c>
      <c r="R327" s="4">
        <f>IF(MONTH(Table157[[#This Row],[Date]])=2,28,DAY(DATE(YEAR(Table157[[#This Row],[Date]]),MONTH(Table157[[#This Row],[Date]])+1,1)-1))</f>
        <v>31</v>
      </c>
      <c r="S327" s="4">
        <f ca="1">SUM(OFFSET(Table157[[#Headers],[Days in month]],1,0):Table157[[#This Row],[Days in month]])</f>
        <v>9460</v>
      </c>
      <c r="T327" s="30">
        <f>InterestRate*AmortizationMultiplier*IF(ISNUMBER(SEARCH("Actual",$C$7)),Table157[[#This Row],[Days in month]]/365,1/12)</f>
        <v>2.9708333333333331E-3</v>
      </c>
    </row>
    <row r="328" spans="2:20" x14ac:dyDescent="0.2">
      <c r="B328" s="41">
        <f t="shared" si="14"/>
        <v>55334</v>
      </c>
      <c r="C328" s="4">
        <f t="shared" si="16"/>
        <v>312</v>
      </c>
      <c r="D328" s="32">
        <f t="shared" si="15"/>
        <v>0</v>
      </c>
      <c r="E328" s="32">
        <f>ROUND(Table157[[#This Row],[Beginning Balance]]*Table157[[#This Row],[Monthly Interest Rate]],2)</f>
        <v>0</v>
      </c>
      <c r="F328" s="32">
        <f t="shared" si="17"/>
        <v>-56</v>
      </c>
      <c r="G328" s="45">
        <f>IFERROR(IF($C$13="No","N/A",IF(Table157[[#This Row],[Period]]=1,$C$6,PMT(InterestRate*AmortizationMultiplier/12,Table157[[#This Row],[Am Thru]],-Table157[[#This Row],[Beginning Balance]]))),0)</f>
        <v>0</v>
      </c>
      <c r="H328" s="32">
        <f>MAX(0,IF(C328=$C$4,D328,ROUND(IF($C$3="Fixed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8" s="32">
        <f>ROUND(Table157[[#This Row],[Defaulted Principal]]*IF($C$9="No",$E$4,VLOOKUP(Table157[[#This Row],[Period]],[1]Forecast!$H$2:$L$1048576,3,FALSE)),2)</f>
        <v>0</v>
      </c>
      <c r="L328" s="4">
        <f>Table157[[#This Row],[Period]]+$E$9</f>
        <v>324</v>
      </c>
      <c r="M328" s="32">
        <f>Table157[[#This Row],[Defaulted Principal]]-Table157[[#This Row],[Estimated Loss]]</f>
        <v>0</v>
      </c>
      <c r="N328" s="32">
        <f>IFERROR(VLOOKUP(Table157[[#This Row],[Period]],$L$16:$M$385,2,FALSE),0)</f>
        <v>0</v>
      </c>
      <c r="O328" s="32">
        <f>Table157[[#This Row],[Beginning Balance]]-Table157[[#This Row],[Principal]]-Table157[[#This Row],[Prepayments]]-Table157[[#This Row],[Defaulted Principal]]</f>
        <v>0</v>
      </c>
      <c r="P328" s="32">
        <f>Table157[[#This Row],[Principal]]+Table157[[#This Row],[Interest]]+Table157[[#This Row],[Prepayments]]+Table157[[#This Row],[RecoveredAmount]]</f>
        <v>0</v>
      </c>
      <c r="Q328" s="32">
        <f ca="1">ROUND(Table157[[#This Row],[Cash Flow]]/((1+ActualRateToUse)^(IF(ISNUMBER(SEARCH("Actual",$C$7)),Table157[[#This Row],[Running Total]]/365,Table157[[#This Row],[Period]]/12))),2)</f>
        <v>0</v>
      </c>
      <c r="R328" s="4">
        <f>IF(MONTH(Table157[[#This Row],[Date]])=2,28,DAY(DATE(YEAR(Table157[[#This Row],[Date]]),MONTH(Table157[[#This Row],[Date]])+1,1)-1))</f>
        <v>30</v>
      </c>
      <c r="S328" s="4">
        <f ca="1">SUM(OFFSET(Table157[[#Headers],[Days in month]],1,0):Table157[[#This Row],[Days in month]])</f>
        <v>9490</v>
      </c>
      <c r="T328" s="30">
        <f>InterestRate*AmortizationMultiplier*IF(ISNUMBER(SEARCH("Actual",$C$7)),Table157[[#This Row],[Days in month]]/365,1/12)</f>
        <v>2.8749999999999995E-3</v>
      </c>
    </row>
    <row r="329" spans="2:20" x14ac:dyDescent="0.2">
      <c r="B329" s="41">
        <f t="shared" si="14"/>
        <v>55365</v>
      </c>
      <c r="C329" s="4">
        <f t="shared" si="16"/>
        <v>313</v>
      </c>
      <c r="D329" s="32">
        <f t="shared" si="15"/>
        <v>0</v>
      </c>
      <c r="E329" s="32">
        <f>ROUND(Table157[[#This Row],[Beginning Balance]]*Table157[[#This Row],[Monthly Interest Rate]],2)</f>
        <v>0</v>
      </c>
      <c r="F329" s="32">
        <f t="shared" si="17"/>
        <v>-57</v>
      </c>
      <c r="G329" s="45">
        <f>IFERROR(IF($C$13="No","N/A",IF(Table157[[#This Row],[Period]]=1,$C$6,PMT(InterestRate*AmortizationMultiplier/12,Table157[[#This Row],[Am Thru]],-Table157[[#This Row],[Beginning Balance]]))),0)</f>
        <v>0</v>
      </c>
      <c r="H329" s="32">
        <f>MAX(0,IF(C329=$C$4,D329,ROUND(IF($C$3="Fixed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2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2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29" s="32">
        <f>ROUND(Table157[[#This Row],[Defaulted Principal]]*IF($C$9="No",$E$4,VLOOKUP(Table157[[#This Row],[Period]],[1]Forecast!$H$2:$L$1048576,3,FALSE)),2)</f>
        <v>0</v>
      </c>
      <c r="L329" s="4">
        <f>Table157[[#This Row],[Period]]+$E$9</f>
        <v>325</v>
      </c>
      <c r="M329" s="32">
        <f>Table157[[#This Row],[Defaulted Principal]]-Table157[[#This Row],[Estimated Loss]]</f>
        <v>0</v>
      </c>
      <c r="N329" s="32">
        <f>IFERROR(VLOOKUP(Table157[[#This Row],[Period]],$L$16:$M$385,2,FALSE),0)</f>
        <v>0</v>
      </c>
      <c r="O329" s="32">
        <f>Table157[[#This Row],[Beginning Balance]]-Table157[[#This Row],[Principal]]-Table157[[#This Row],[Prepayments]]-Table157[[#This Row],[Defaulted Principal]]</f>
        <v>0</v>
      </c>
      <c r="P329" s="32">
        <f>Table157[[#This Row],[Principal]]+Table157[[#This Row],[Interest]]+Table157[[#This Row],[Prepayments]]+Table157[[#This Row],[RecoveredAmount]]</f>
        <v>0</v>
      </c>
      <c r="Q329" s="32">
        <f ca="1">ROUND(Table157[[#This Row],[Cash Flow]]/((1+ActualRateToUse)^(IF(ISNUMBER(SEARCH("Actual",$C$7)),Table157[[#This Row],[Running Total]]/365,Table157[[#This Row],[Period]]/12))),2)</f>
        <v>0</v>
      </c>
      <c r="R329" s="4">
        <f>IF(MONTH(Table157[[#This Row],[Date]])=2,28,DAY(DATE(YEAR(Table157[[#This Row],[Date]]),MONTH(Table157[[#This Row],[Date]])+1,1)-1))</f>
        <v>31</v>
      </c>
      <c r="S329" s="4">
        <f ca="1">SUM(OFFSET(Table157[[#Headers],[Days in month]],1,0):Table157[[#This Row],[Days in month]])</f>
        <v>9521</v>
      </c>
      <c r="T329" s="30">
        <f>InterestRate*AmortizationMultiplier*IF(ISNUMBER(SEARCH("Actual",$C$7)),Table157[[#This Row],[Days in month]]/365,1/12)</f>
        <v>2.9708333333333331E-3</v>
      </c>
    </row>
    <row r="330" spans="2:20" x14ac:dyDescent="0.2">
      <c r="B330" s="41">
        <f t="shared" si="14"/>
        <v>55396</v>
      </c>
      <c r="C330" s="4">
        <f t="shared" si="16"/>
        <v>314</v>
      </c>
      <c r="D330" s="32">
        <f t="shared" si="15"/>
        <v>0</v>
      </c>
      <c r="E330" s="32">
        <f>ROUND(Table157[[#This Row],[Beginning Balance]]*Table157[[#This Row],[Monthly Interest Rate]],2)</f>
        <v>0</v>
      </c>
      <c r="F330" s="32">
        <f t="shared" si="17"/>
        <v>-58</v>
      </c>
      <c r="G330" s="45">
        <f>IFERROR(IF($C$13="No","N/A",IF(Table157[[#This Row],[Period]]=1,$C$6,PMT(InterestRate*AmortizationMultiplier/12,Table157[[#This Row],[Am Thru]],-Table157[[#This Row],[Beginning Balance]]))),0)</f>
        <v>0</v>
      </c>
      <c r="H330" s="32">
        <f>MAX(0,IF(C330=$C$4,D330,ROUND(IF($C$3="Fixed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0" s="32">
        <f>ROUND(Table157[[#This Row],[Defaulted Principal]]*IF($C$9="No",$E$4,VLOOKUP(Table157[[#This Row],[Period]],[1]Forecast!$H$2:$L$1048576,3,FALSE)),2)</f>
        <v>0</v>
      </c>
      <c r="L330" s="4">
        <f>Table157[[#This Row],[Period]]+$E$9</f>
        <v>326</v>
      </c>
      <c r="M330" s="32">
        <f>Table157[[#This Row],[Defaulted Principal]]-Table157[[#This Row],[Estimated Loss]]</f>
        <v>0</v>
      </c>
      <c r="N330" s="32">
        <f>IFERROR(VLOOKUP(Table157[[#This Row],[Period]],$L$16:$M$385,2,FALSE),0)</f>
        <v>0</v>
      </c>
      <c r="O330" s="32">
        <f>Table157[[#This Row],[Beginning Balance]]-Table157[[#This Row],[Principal]]-Table157[[#This Row],[Prepayments]]-Table157[[#This Row],[Defaulted Principal]]</f>
        <v>0</v>
      </c>
      <c r="P330" s="32">
        <f>Table157[[#This Row],[Principal]]+Table157[[#This Row],[Interest]]+Table157[[#This Row],[Prepayments]]+Table157[[#This Row],[RecoveredAmount]]</f>
        <v>0</v>
      </c>
      <c r="Q330" s="32">
        <f ca="1">ROUND(Table157[[#This Row],[Cash Flow]]/((1+ActualRateToUse)^(IF(ISNUMBER(SEARCH("Actual",$C$7)),Table157[[#This Row],[Running Total]]/365,Table157[[#This Row],[Period]]/12))),2)</f>
        <v>0</v>
      </c>
      <c r="R330" s="4">
        <f>IF(MONTH(Table157[[#This Row],[Date]])=2,28,DAY(DATE(YEAR(Table157[[#This Row],[Date]]),MONTH(Table157[[#This Row],[Date]])+1,1)-1))</f>
        <v>31</v>
      </c>
      <c r="S330" s="4">
        <f ca="1">SUM(OFFSET(Table157[[#Headers],[Days in month]],1,0):Table157[[#This Row],[Days in month]])</f>
        <v>9552</v>
      </c>
      <c r="T330" s="30">
        <f>InterestRate*AmortizationMultiplier*IF(ISNUMBER(SEARCH("Actual",$C$7)),Table157[[#This Row],[Days in month]]/365,1/12)</f>
        <v>2.9708333333333331E-3</v>
      </c>
    </row>
    <row r="331" spans="2:20" x14ac:dyDescent="0.2">
      <c r="B331" s="41">
        <f t="shared" ref="B331:B385" si="18">EOMONTH(B330,1)</f>
        <v>55426</v>
      </c>
      <c r="C331" s="4">
        <f t="shared" si="16"/>
        <v>315</v>
      </c>
      <c r="D331" s="32">
        <f t="shared" si="15"/>
        <v>0</v>
      </c>
      <c r="E331" s="32">
        <f>ROUND(Table157[[#This Row],[Beginning Balance]]*Table157[[#This Row],[Monthly Interest Rate]],2)</f>
        <v>0</v>
      </c>
      <c r="F331" s="32">
        <f t="shared" si="17"/>
        <v>-59</v>
      </c>
      <c r="G331" s="45">
        <f>IFERROR(IF($C$13="No","N/A",IF(Table157[[#This Row],[Period]]=1,$C$6,PMT(InterestRate*AmortizationMultiplier/12,Table157[[#This Row],[Am Thru]],-Table157[[#This Row],[Beginning Balance]]))),0)</f>
        <v>0</v>
      </c>
      <c r="H331" s="32">
        <f>MAX(0,IF(C331=$C$4,D331,ROUND(IF($C$3="Fixed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1" s="32">
        <f>ROUND(Table157[[#This Row],[Defaulted Principal]]*IF($C$9="No",$E$4,VLOOKUP(Table157[[#This Row],[Period]],[1]Forecast!$H$2:$L$1048576,3,FALSE)),2)</f>
        <v>0</v>
      </c>
      <c r="L331" s="4">
        <f>Table157[[#This Row],[Period]]+$E$9</f>
        <v>327</v>
      </c>
      <c r="M331" s="32">
        <f>Table157[[#This Row],[Defaulted Principal]]-Table157[[#This Row],[Estimated Loss]]</f>
        <v>0</v>
      </c>
      <c r="N331" s="32">
        <f>IFERROR(VLOOKUP(Table157[[#This Row],[Period]],$L$16:$M$385,2,FALSE),0)</f>
        <v>0</v>
      </c>
      <c r="O331" s="32">
        <f>Table157[[#This Row],[Beginning Balance]]-Table157[[#This Row],[Principal]]-Table157[[#This Row],[Prepayments]]-Table157[[#This Row],[Defaulted Principal]]</f>
        <v>0</v>
      </c>
      <c r="P331" s="32">
        <f>Table157[[#This Row],[Principal]]+Table157[[#This Row],[Interest]]+Table157[[#This Row],[Prepayments]]+Table157[[#This Row],[RecoveredAmount]]</f>
        <v>0</v>
      </c>
      <c r="Q331" s="32">
        <f ca="1">ROUND(Table157[[#This Row],[Cash Flow]]/((1+ActualRateToUse)^(IF(ISNUMBER(SEARCH("Actual",$C$7)),Table157[[#This Row],[Running Total]]/365,Table157[[#This Row],[Period]]/12))),2)</f>
        <v>0</v>
      </c>
      <c r="R331" s="4">
        <f>IF(MONTH(Table157[[#This Row],[Date]])=2,28,DAY(DATE(YEAR(Table157[[#This Row],[Date]]),MONTH(Table157[[#This Row],[Date]])+1,1)-1))</f>
        <v>30</v>
      </c>
      <c r="S331" s="4">
        <f ca="1">SUM(OFFSET(Table157[[#Headers],[Days in month]],1,0):Table157[[#This Row],[Days in month]])</f>
        <v>9582</v>
      </c>
      <c r="T331" s="30">
        <f>InterestRate*AmortizationMultiplier*IF(ISNUMBER(SEARCH("Actual",$C$7)),Table157[[#This Row],[Days in month]]/365,1/12)</f>
        <v>2.8749999999999995E-3</v>
      </c>
    </row>
    <row r="332" spans="2:20" x14ac:dyDescent="0.2">
      <c r="B332" s="41">
        <f t="shared" si="18"/>
        <v>55457</v>
      </c>
      <c r="C332" s="4">
        <f t="shared" si="16"/>
        <v>316</v>
      </c>
      <c r="D332" s="32">
        <f t="shared" si="15"/>
        <v>0</v>
      </c>
      <c r="E332" s="32">
        <f>ROUND(Table157[[#This Row],[Beginning Balance]]*Table157[[#This Row],[Monthly Interest Rate]],2)</f>
        <v>0</v>
      </c>
      <c r="F332" s="32">
        <f t="shared" si="17"/>
        <v>-60</v>
      </c>
      <c r="G332" s="45">
        <f>IFERROR(IF($C$13="No","N/A",IF(Table157[[#This Row],[Period]]=1,$C$6,PMT(InterestRate*AmortizationMultiplier/12,Table157[[#This Row],[Am Thru]],-Table157[[#This Row],[Beginning Balance]]))),0)</f>
        <v>0</v>
      </c>
      <c r="H332" s="32">
        <f>MAX(0,IF(C332=$C$4,D332,ROUND(IF($C$3="Fixed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2" s="32">
        <f>ROUND(Table157[[#This Row],[Defaulted Principal]]*IF($C$9="No",$E$4,VLOOKUP(Table157[[#This Row],[Period]],[1]Forecast!$H$2:$L$1048576,3,FALSE)),2)</f>
        <v>0</v>
      </c>
      <c r="L332" s="4">
        <f>Table157[[#This Row],[Period]]+$E$9</f>
        <v>328</v>
      </c>
      <c r="M332" s="32">
        <f>Table157[[#This Row],[Defaulted Principal]]-Table157[[#This Row],[Estimated Loss]]</f>
        <v>0</v>
      </c>
      <c r="N332" s="32">
        <f>IFERROR(VLOOKUP(Table157[[#This Row],[Period]],$L$16:$M$385,2,FALSE),0)</f>
        <v>0</v>
      </c>
      <c r="O332" s="32">
        <f>Table157[[#This Row],[Beginning Balance]]-Table157[[#This Row],[Principal]]-Table157[[#This Row],[Prepayments]]-Table157[[#This Row],[Defaulted Principal]]</f>
        <v>0</v>
      </c>
      <c r="P332" s="32">
        <f>Table157[[#This Row],[Principal]]+Table157[[#This Row],[Interest]]+Table157[[#This Row],[Prepayments]]+Table157[[#This Row],[RecoveredAmount]]</f>
        <v>0</v>
      </c>
      <c r="Q332" s="32">
        <f ca="1">ROUND(Table157[[#This Row],[Cash Flow]]/((1+ActualRateToUse)^(IF(ISNUMBER(SEARCH("Actual",$C$7)),Table157[[#This Row],[Running Total]]/365,Table157[[#This Row],[Period]]/12))),2)</f>
        <v>0</v>
      </c>
      <c r="R332" s="4">
        <f>IF(MONTH(Table157[[#This Row],[Date]])=2,28,DAY(DATE(YEAR(Table157[[#This Row],[Date]]),MONTH(Table157[[#This Row],[Date]])+1,1)-1))</f>
        <v>31</v>
      </c>
      <c r="S332" s="4">
        <f ca="1">SUM(OFFSET(Table157[[#Headers],[Days in month]],1,0):Table157[[#This Row],[Days in month]])</f>
        <v>9613</v>
      </c>
      <c r="T332" s="30">
        <f>InterestRate*AmortizationMultiplier*IF(ISNUMBER(SEARCH("Actual",$C$7)),Table157[[#This Row],[Days in month]]/365,1/12)</f>
        <v>2.9708333333333331E-3</v>
      </c>
    </row>
    <row r="333" spans="2:20" x14ac:dyDescent="0.2">
      <c r="B333" s="41">
        <f t="shared" si="18"/>
        <v>55487</v>
      </c>
      <c r="C333" s="4">
        <f t="shared" si="16"/>
        <v>317</v>
      </c>
      <c r="D333" s="32">
        <f t="shared" si="15"/>
        <v>0</v>
      </c>
      <c r="E333" s="32">
        <f>ROUND(Table157[[#This Row],[Beginning Balance]]*Table157[[#This Row],[Monthly Interest Rate]],2)</f>
        <v>0</v>
      </c>
      <c r="F333" s="32">
        <f t="shared" si="17"/>
        <v>-61</v>
      </c>
      <c r="G333" s="45">
        <f>IFERROR(IF($C$13="No","N/A",IF(Table157[[#This Row],[Period]]=1,$C$6,PMT(InterestRate*AmortizationMultiplier/12,Table157[[#This Row],[Am Thru]],-Table157[[#This Row],[Beginning Balance]]))),0)</f>
        <v>0</v>
      </c>
      <c r="H333" s="32">
        <f>MAX(0,IF(C333=$C$4,D333,ROUND(IF($C$3="Fixed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3" s="32">
        <f>ROUND(Table157[[#This Row],[Defaulted Principal]]*IF($C$9="No",$E$4,VLOOKUP(Table157[[#This Row],[Period]],[1]Forecast!$H$2:$L$1048576,3,FALSE)),2)</f>
        <v>0</v>
      </c>
      <c r="L333" s="4">
        <f>Table157[[#This Row],[Period]]+$E$9</f>
        <v>329</v>
      </c>
      <c r="M333" s="32">
        <f>Table157[[#This Row],[Defaulted Principal]]-Table157[[#This Row],[Estimated Loss]]</f>
        <v>0</v>
      </c>
      <c r="N333" s="32">
        <f>IFERROR(VLOOKUP(Table157[[#This Row],[Period]],$L$16:$M$385,2,FALSE),0)</f>
        <v>0</v>
      </c>
      <c r="O333" s="32">
        <f>Table157[[#This Row],[Beginning Balance]]-Table157[[#This Row],[Principal]]-Table157[[#This Row],[Prepayments]]-Table157[[#This Row],[Defaulted Principal]]</f>
        <v>0</v>
      </c>
      <c r="P333" s="32">
        <f>Table157[[#This Row],[Principal]]+Table157[[#This Row],[Interest]]+Table157[[#This Row],[Prepayments]]+Table157[[#This Row],[RecoveredAmount]]</f>
        <v>0</v>
      </c>
      <c r="Q333" s="32">
        <f ca="1">ROUND(Table157[[#This Row],[Cash Flow]]/((1+ActualRateToUse)^(IF(ISNUMBER(SEARCH("Actual",$C$7)),Table157[[#This Row],[Running Total]]/365,Table157[[#This Row],[Period]]/12))),2)</f>
        <v>0</v>
      </c>
      <c r="R333" s="4">
        <f>IF(MONTH(Table157[[#This Row],[Date]])=2,28,DAY(DATE(YEAR(Table157[[#This Row],[Date]]),MONTH(Table157[[#This Row],[Date]])+1,1)-1))</f>
        <v>30</v>
      </c>
      <c r="S333" s="4">
        <f ca="1">SUM(OFFSET(Table157[[#Headers],[Days in month]],1,0):Table157[[#This Row],[Days in month]])</f>
        <v>9643</v>
      </c>
      <c r="T333" s="30">
        <f>InterestRate*AmortizationMultiplier*IF(ISNUMBER(SEARCH("Actual",$C$7)),Table157[[#This Row],[Days in month]]/365,1/12)</f>
        <v>2.8749999999999995E-3</v>
      </c>
    </row>
    <row r="334" spans="2:20" x14ac:dyDescent="0.2">
      <c r="B334" s="41">
        <f t="shared" si="18"/>
        <v>55518</v>
      </c>
      <c r="C334" s="4">
        <f t="shared" si="16"/>
        <v>318</v>
      </c>
      <c r="D334" s="32">
        <f t="shared" si="15"/>
        <v>0</v>
      </c>
      <c r="E334" s="32">
        <f>ROUND(Table157[[#This Row],[Beginning Balance]]*Table157[[#This Row],[Monthly Interest Rate]],2)</f>
        <v>0</v>
      </c>
      <c r="F334" s="32">
        <f t="shared" si="17"/>
        <v>-62</v>
      </c>
      <c r="G334" s="45">
        <f>IFERROR(IF($C$13="No","N/A",IF(Table157[[#This Row],[Period]]=1,$C$6,PMT(InterestRate*AmortizationMultiplier/12,Table157[[#This Row],[Am Thru]],-Table157[[#This Row],[Beginning Balance]]))),0)</f>
        <v>0</v>
      </c>
      <c r="H334" s="32">
        <f>MAX(0,IF(C334=$C$4,D334,ROUND(IF($C$3="Fixed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4" s="32">
        <f>ROUND(Table157[[#This Row],[Defaulted Principal]]*IF($C$9="No",$E$4,VLOOKUP(Table157[[#This Row],[Period]],[1]Forecast!$H$2:$L$1048576,3,FALSE)),2)</f>
        <v>0</v>
      </c>
      <c r="L334" s="4">
        <f>Table157[[#This Row],[Period]]+$E$9</f>
        <v>330</v>
      </c>
      <c r="M334" s="32">
        <f>Table157[[#This Row],[Defaulted Principal]]-Table157[[#This Row],[Estimated Loss]]</f>
        <v>0</v>
      </c>
      <c r="N334" s="32">
        <f>IFERROR(VLOOKUP(Table157[[#This Row],[Period]],$L$16:$M$385,2,FALSE),0)</f>
        <v>0</v>
      </c>
      <c r="O334" s="32">
        <f>Table157[[#This Row],[Beginning Balance]]-Table157[[#This Row],[Principal]]-Table157[[#This Row],[Prepayments]]-Table157[[#This Row],[Defaulted Principal]]</f>
        <v>0</v>
      </c>
      <c r="P334" s="32">
        <f>Table157[[#This Row],[Principal]]+Table157[[#This Row],[Interest]]+Table157[[#This Row],[Prepayments]]+Table157[[#This Row],[RecoveredAmount]]</f>
        <v>0</v>
      </c>
      <c r="Q334" s="32">
        <f ca="1">ROUND(Table157[[#This Row],[Cash Flow]]/((1+ActualRateToUse)^(IF(ISNUMBER(SEARCH("Actual",$C$7)),Table157[[#This Row],[Running Total]]/365,Table157[[#This Row],[Period]]/12))),2)</f>
        <v>0</v>
      </c>
      <c r="R334" s="4">
        <f>IF(MONTH(Table157[[#This Row],[Date]])=2,28,DAY(DATE(YEAR(Table157[[#This Row],[Date]]),MONTH(Table157[[#This Row],[Date]])+1,1)-1))</f>
        <v>31</v>
      </c>
      <c r="S334" s="4">
        <f ca="1">SUM(OFFSET(Table157[[#Headers],[Days in month]],1,0):Table157[[#This Row],[Days in month]])</f>
        <v>9674</v>
      </c>
      <c r="T334" s="30">
        <f>InterestRate*AmortizationMultiplier*IF(ISNUMBER(SEARCH("Actual",$C$7)),Table157[[#This Row],[Days in month]]/365,1/12)</f>
        <v>2.9708333333333331E-3</v>
      </c>
    </row>
    <row r="335" spans="2:20" x14ac:dyDescent="0.2">
      <c r="B335" s="41">
        <f t="shared" si="18"/>
        <v>55549</v>
      </c>
      <c r="C335" s="4">
        <f t="shared" si="16"/>
        <v>319</v>
      </c>
      <c r="D335" s="32">
        <f t="shared" si="15"/>
        <v>0</v>
      </c>
      <c r="E335" s="32">
        <f>ROUND(Table157[[#This Row],[Beginning Balance]]*Table157[[#This Row],[Monthly Interest Rate]],2)</f>
        <v>0</v>
      </c>
      <c r="F335" s="32">
        <f t="shared" si="17"/>
        <v>-63</v>
      </c>
      <c r="G335" s="45">
        <f>IFERROR(IF($C$13="No","N/A",IF(Table157[[#This Row],[Period]]=1,$C$6,PMT(InterestRate*AmortizationMultiplier/12,Table157[[#This Row],[Am Thru]],-Table157[[#This Row],[Beginning Balance]]))),0)</f>
        <v>0</v>
      </c>
      <c r="H335" s="32">
        <f>MAX(0,IF(C335=$C$4,D335,ROUND(IF($C$3="Fixed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5" s="32">
        <f>ROUND(Table157[[#This Row],[Defaulted Principal]]*IF($C$9="No",$E$4,VLOOKUP(Table157[[#This Row],[Period]],[1]Forecast!$H$2:$L$1048576,3,FALSE)),2)</f>
        <v>0</v>
      </c>
      <c r="L335" s="4">
        <f>Table157[[#This Row],[Period]]+$E$9</f>
        <v>331</v>
      </c>
      <c r="M335" s="32">
        <f>Table157[[#This Row],[Defaulted Principal]]-Table157[[#This Row],[Estimated Loss]]</f>
        <v>0</v>
      </c>
      <c r="N335" s="32">
        <f>IFERROR(VLOOKUP(Table157[[#This Row],[Period]],$L$16:$M$385,2,FALSE),0)</f>
        <v>0</v>
      </c>
      <c r="O335" s="32">
        <f>Table157[[#This Row],[Beginning Balance]]-Table157[[#This Row],[Principal]]-Table157[[#This Row],[Prepayments]]-Table157[[#This Row],[Defaulted Principal]]</f>
        <v>0</v>
      </c>
      <c r="P335" s="32">
        <f>Table157[[#This Row],[Principal]]+Table157[[#This Row],[Interest]]+Table157[[#This Row],[Prepayments]]+Table157[[#This Row],[RecoveredAmount]]</f>
        <v>0</v>
      </c>
      <c r="Q335" s="32">
        <f ca="1">ROUND(Table157[[#This Row],[Cash Flow]]/((1+ActualRateToUse)^(IF(ISNUMBER(SEARCH("Actual",$C$7)),Table157[[#This Row],[Running Total]]/365,Table157[[#This Row],[Period]]/12))),2)</f>
        <v>0</v>
      </c>
      <c r="R335" s="4">
        <f>IF(MONTH(Table157[[#This Row],[Date]])=2,28,DAY(DATE(YEAR(Table157[[#This Row],[Date]]),MONTH(Table157[[#This Row],[Date]])+1,1)-1))</f>
        <v>31</v>
      </c>
      <c r="S335" s="4">
        <f ca="1">SUM(OFFSET(Table157[[#Headers],[Days in month]],1,0):Table157[[#This Row],[Days in month]])</f>
        <v>9705</v>
      </c>
      <c r="T335" s="30">
        <f>InterestRate*AmortizationMultiplier*IF(ISNUMBER(SEARCH("Actual",$C$7)),Table157[[#This Row],[Days in month]]/365,1/12)</f>
        <v>2.9708333333333331E-3</v>
      </c>
    </row>
    <row r="336" spans="2:20" x14ac:dyDescent="0.2">
      <c r="B336" s="41">
        <f t="shared" si="18"/>
        <v>55578</v>
      </c>
      <c r="C336" s="4">
        <f t="shared" si="16"/>
        <v>320</v>
      </c>
      <c r="D336" s="32">
        <f t="shared" si="15"/>
        <v>0</v>
      </c>
      <c r="E336" s="32">
        <f>ROUND(Table157[[#This Row],[Beginning Balance]]*Table157[[#This Row],[Monthly Interest Rate]],2)</f>
        <v>0</v>
      </c>
      <c r="F336" s="32">
        <f t="shared" si="17"/>
        <v>-64</v>
      </c>
      <c r="G336" s="45">
        <f>IFERROR(IF($C$13="No","N/A",IF(Table157[[#This Row],[Period]]=1,$C$6,PMT(InterestRate*AmortizationMultiplier/12,Table157[[#This Row],[Am Thru]],-Table157[[#This Row],[Beginning Balance]]))),0)</f>
        <v>0</v>
      </c>
      <c r="H336" s="32">
        <f>MAX(0,IF(C336=$C$4,D336,ROUND(IF($C$3="Fixed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6" s="32">
        <f>ROUND(Table157[[#This Row],[Defaulted Principal]]*IF($C$9="No",$E$4,VLOOKUP(Table157[[#This Row],[Period]],[1]Forecast!$H$2:$L$1048576,3,FALSE)),2)</f>
        <v>0</v>
      </c>
      <c r="L336" s="4">
        <f>Table157[[#This Row],[Period]]+$E$9</f>
        <v>332</v>
      </c>
      <c r="M336" s="32">
        <f>Table157[[#This Row],[Defaulted Principal]]-Table157[[#This Row],[Estimated Loss]]</f>
        <v>0</v>
      </c>
      <c r="N336" s="32">
        <f>IFERROR(VLOOKUP(Table157[[#This Row],[Period]],$L$16:$M$385,2,FALSE),0)</f>
        <v>0</v>
      </c>
      <c r="O336" s="32">
        <f>Table157[[#This Row],[Beginning Balance]]-Table157[[#This Row],[Principal]]-Table157[[#This Row],[Prepayments]]-Table157[[#This Row],[Defaulted Principal]]</f>
        <v>0</v>
      </c>
      <c r="P336" s="32">
        <f>Table157[[#This Row],[Principal]]+Table157[[#This Row],[Interest]]+Table157[[#This Row],[Prepayments]]+Table157[[#This Row],[RecoveredAmount]]</f>
        <v>0</v>
      </c>
      <c r="Q336" s="32">
        <f ca="1">ROUND(Table157[[#This Row],[Cash Flow]]/((1+ActualRateToUse)^(IF(ISNUMBER(SEARCH("Actual",$C$7)),Table157[[#This Row],[Running Total]]/365,Table157[[#This Row],[Period]]/12))),2)</f>
        <v>0</v>
      </c>
      <c r="R336" s="4">
        <f>IF(MONTH(Table157[[#This Row],[Date]])=2,28,DAY(DATE(YEAR(Table157[[#This Row],[Date]]),MONTH(Table157[[#This Row],[Date]])+1,1)-1))</f>
        <v>28</v>
      </c>
      <c r="S336" s="4">
        <f ca="1">SUM(OFFSET(Table157[[#Headers],[Days in month]],1,0):Table157[[#This Row],[Days in month]])</f>
        <v>9733</v>
      </c>
      <c r="T336" s="30">
        <f>InterestRate*AmortizationMultiplier*IF(ISNUMBER(SEARCH("Actual",$C$7)),Table157[[#This Row],[Days in month]]/365,1/12)</f>
        <v>2.6833333333333336E-3</v>
      </c>
    </row>
    <row r="337" spans="2:20" x14ac:dyDescent="0.2">
      <c r="B337" s="41">
        <f t="shared" si="18"/>
        <v>55609</v>
      </c>
      <c r="C337" s="4">
        <f t="shared" si="16"/>
        <v>321</v>
      </c>
      <c r="D337" s="32">
        <f t="shared" si="15"/>
        <v>0</v>
      </c>
      <c r="E337" s="32">
        <f>ROUND(Table157[[#This Row],[Beginning Balance]]*Table157[[#This Row],[Monthly Interest Rate]],2)</f>
        <v>0</v>
      </c>
      <c r="F337" s="32">
        <f t="shared" si="17"/>
        <v>-65</v>
      </c>
      <c r="G337" s="45">
        <f>IFERROR(IF($C$13="No","N/A",IF(Table157[[#This Row],[Period]]=1,$C$6,PMT(InterestRate*AmortizationMultiplier/12,Table157[[#This Row],[Am Thru]],-Table157[[#This Row],[Beginning Balance]]))),0)</f>
        <v>0</v>
      </c>
      <c r="H337" s="32">
        <f>MAX(0,IF(C337=$C$4,D337,ROUND(IF($C$3="Fixed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7" s="32">
        <f>ROUND(Table157[[#This Row],[Defaulted Principal]]*IF($C$9="No",$E$4,VLOOKUP(Table157[[#This Row],[Period]],[1]Forecast!$H$2:$L$1048576,3,FALSE)),2)</f>
        <v>0</v>
      </c>
      <c r="L337" s="4">
        <f>Table157[[#This Row],[Period]]+$E$9</f>
        <v>333</v>
      </c>
      <c r="M337" s="32">
        <f>Table157[[#This Row],[Defaulted Principal]]-Table157[[#This Row],[Estimated Loss]]</f>
        <v>0</v>
      </c>
      <c r="N337" s="32">
        <f>IFERROR(VLOOKUP(Table157[[#This Row],[Period]],$L$16:$M$385,2,FALSE),0)</f>
        <v>0</v>
      </c>
      <c r="O337" s="32">
        <f>Table157[[#This Row],[Beginning Balance]]-Table157[[#This Row],[Principal]]-Table157[[#This Row],[Prepayments]]-Table157[[#This Row],[Defaulted Principal]]</f>
        <v>0</v>
      </c>
      <c r="P337" s="32">
        <f>Table157[[#This Row],[Principal]]+Table157[[#This Row],[Interest]]+Table157[[#This Row],[Prepayments]]+Table157[[#This Row],[RecoveredAmount]]</f>
        <v>0</v>
      </c>
      <c r="Q337" s="32">
        <f ca="1">ROUND(Table157[[#This Row],[Cash Flow]]/((1+ActualRateToUse)^(IF(ISNUMBER(SEARCH("Actual",$C$7)),Table157[[#This Row],[Running Total]]/365,Table157[[#This Row],[Period]]/12))),2)</f>
        <v>0</v>
      </c>
      <c r="R337" s="4">
        <f>IF(MONTH(Table157[[#This Row],[Date]])=2,28,DAY(DATE(YEAR(Table157[[#This Row],[Date]]),MONTH(Table157[[#This Row],[Date]])+1,1)-1))</f>
        <v>31</v>
      </c>
      <c r="S337" s="4">
        <f ca="1">SUM(OFFSET(Table157[[#Headers],[Days in month]],1,0):Table157[[#This Row],[Days in month]])</f>
        <v>9764</v>
      </c>
      <c r="T337" s="30">
        <f>InterestRate*AmortizationMultiplier*IF(ISNUMBER(SEARCH("Actual",$C$7)),Table157[[#This Row],[Days in month]]/365,1/12)</f>
        <v>2.9708333333333331E-3</v>
      </c>
    </row>
    <row r="338" spans="2:20" x14ac:dyDescent="0.2">
      <c r="B338" s="41">
        <f t="shared" si="18"/>
        <v>55639</v>
      </c>
      <c r="C338" s="4">
        <f t="shared" si="16"/>
        <v>322</v>
      </c>
      <c r="D338" s="32">
        <f t="shared" ref="D338:D385" si="19">O337</f>
        <v>0</v>
      </c>
      <c r="E338" s="32">
        <f>ROUND(Table157[[#This Row],[Beginning Balance]]*Table157[[#This Row],[Monthly Interest Rate]],2)</f>
        <v>0</v>
      </c>
      <c r="F338" s="32">
        <f t="shared" si="17"/>
        <v>-66</v>
      </c>
      <c r="G338" s="45">
        <f>IFERROR(IF($C$13="No","N/A",IF(Table157[[#This Row],[Period]]=1,$C$6,PMT(InterestRate*AmortizationMultiplier/12,Table157[[#This Row],[Am Thru]],-Table157[[#This Row],[Beginning Balance]]))),0)</f>
        <v>0</v>
      </c>
      <c r="H338" s="32">
        <f>MAX(0,IF(C338=$C$4,D338,ROUND(IF($C$3="Fixed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8" s="32">
        <f>ROUND(Table157[[#This Row],[Defaulted Principal]]*IF($C$9="No",$E$4,VLOOKUP(Table157[[#This Row],[Period]],[1]Forecast!$H$2:$L$1048576,3,FALSE)),2)</f>
        <v>0</v>
      </c>
      <c r="L338" s="4">
        <f>Table157[[#This Row],[Period]]+$E$9</f>
        <v>334</v>
      </c>
      <c r="M338" s="32">
        <f>Table157[[#This Row],[Defaulted Principal]]-Table157[[#This Row],[Estimated Loss]]</f>
        <v>0</v>
      </c>
      <c r="N338" s="32">
        <f>IFERROR(VLOOKUP(Table157[[#This Row],[Period]],$L$16:$M$385,2,FALSE),0)</f>
        <v>0</v>
      </c>
      <c r="O338" s="32">
        <f>Table157[[#This Row],[Beginning Balance]]-Table157[[#This Row],[Principal]]-Table157[[#This Row],[Prepayments]]-Table157[[#This Row],[Defaulted Principal]]</f>
        <v>0</v>
      </c>
      <c r="P338" s="32">
        <f>Table157[[#This Row],[Principal]]+Table157[[#This Row],[Interest]]+Table157[[#This Row],[Prepayments]]+Table157[[#This Row],[RecoveredAmount]]</f>
        <v>0</v>
      </c>
      <c r="Q338" s="32">
        <f ca="1">ROUND(Table157[[#This Row],[Cash Flow]]/((1+ActualRateToUse)^(IF(ISNUMBER(SEARCH("Actual",$C$7)),Table157[[#This Row],[Running Total]]/365,Table157[[#This Row],[Period]]/12))),2)</f>
        <v>0</v>
      </c>
      <c r="R338" s="4">
        <f>IF(MONTH(Table157[[#This Row],[Date]])=2,28,DAY(DATE(YEAR(Table157[[#This Row],[Date]]),MONTH(Table157[[#This Row],[Date]])+1,1)-1))</f>
        <v>30</v>
      </c>
      <c r="S338" s="4">
        <f ca="1">SUM(OFFSET(Table157[[#Headers],[Days in month]],1,0):Table157[[#This Row],[Days in month]])</f>
        <v>9794</v>
      </c>
      <c r="T338" s="30">
        <f>InterestRate*AmortizationMultiplier*IF(ISNUMBER(SEARCH("Actual",$C$7)),Table157[[#This Row],[Days in month]]/365,1/12)</f>
        <v>2.8749999999999995E-3</v>
      </c>
    </row>
    <row r="339" spans="2:20" x14ac:dyDescent="0.2">
      <c r="B339" s="41">
        <f t="shared" si="18"/>
        <v>55670</v>
      </c>
      <c r="C339" s="4">
        <f t="shared" ref="C339:C385" si="20">C338+1</f>
        <v>323</v>
      </c>
      <c r="D339" s="32">
        <f t="shared" si="19"/>
        <v>0</v>
      </c>
      <c r="E339" s="32">
        <f>ROUND(Table157[[#This Row],[Beginning Balance]]*Table157[[#This Row],[Monthly Interest Rate]],2)</f>
        <v>0</v>
      </c>
      <c r="F339" s="32">
        <f t="shared" ref="F339:F385" si="21">+F338-1</f>
        <v>-67</v>
      </c>
      <c r="G339" s="45">
        <f>IFERROR(IF($C$13="No","N/A",IF(Table157[[#This Row],[Period]]=1,$C$6,PMT(InterestRate*AmortizationMultiplier/12,Table157[[#This Row],[Am Thru]],-Table157[[#This Row],[Beginning Balance]]))),0)</f>
        <v>0</v>
      </c>
      <c r="H339" s="32">
        <f>MAX(0,IF(C339=$C$4,D339,ROUND(IF($C$3="Fixed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3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3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39" s="32">
        <f>ROUND(Table157[[#This Row],[Defaulted Principal]]*IF($C$9="No",$E$4,VLOOKUP(Table157[[#This Row],[Period]],[1]Forecast!$H$2:$L$1048576,3,FALSE)),2)</f>
        <v>0</v>
      </c>
      <c r="L339" s="4">
        <f>Table157[[#This Row],[Period]]+$E$9</f>
        <v>335</v>
      </c>
      <c r="M339" s="32">
        <f>Table157[[#This Row],[Defaulted Principal]]-Table157[[#This Row],[Estimated Loss]]</f>
        <v>0</v>
      </c>
      <c r="N339" s="32">
        <f>IFERROR(VLOOKUP(Table157[[#This Row],[Period]],$L$16:$M$385,2,FALSE),0)</f>
        <v>0</v>
      </c>
      <c r="O339" s="32">
        <f>Table157[[#This Row],[Beginning Balance]]-Table157[[#This Row],[Principal]]-Table157[[#This Row],[Prepayments]]-Table157[[#This Row],[Defaulted Principal]]</f>
        <v>0</v>
      </c>
      <c r="P339" s="32">
        <f>Table157[[#This Row],[Principal]]+Table157[[#This Row],[Interest]]+Table157[[#This Row],[Prepayments]]+Table157[[#This Row],[RecoveredAmount]]</f>
        <v>0</v>
      </c>
      <c r="Q339" s="32">
        <f ca="1">ROUND(Table157[[#This Row],[Cash Flow]]/((1+ActualRateToUse)^(IF(ISNUMBER(SEARCH("Actual",$C$7)),Table157[[#This Row],[Running Total]]/365,Table157[[#This Row],[Period]]/12))),2)</f>
        <v>0</v>
      </c>
      <c r="R339" s="4">
        <f>IF(MONTH(Table157[[#This Row],[Date]])=2,28,DAY(DATE(YEAR(Table157[[#This Row],[Date]]),MONTH(Table157[[#This Row],[Date]])+1,1)-1))</f>
        <v>31</v>
      </c>
      <c r="S339" s="4">
        <f ca="1">SUM(OFFSET(Table157[[#Headers],[Days in month]],1,0):Table157[[#This Row],[Days in month]])</f>
        <v>9825</v>
      </c>
      <c r="T339" s="30">
        <f>InterestRate*AmortizationMultiplier*IF(ISNUMBER(SEARCH("Actual",$C$7)),Table157[[#This Row],[Days in month]]/365,1/12)</f>
        <v>2.9708333333333331E-3</v>
      </c>
    </row>
    <row r="340" spans="2:20" x14ac:dyDescent="0.2">
      <c r="B340" s="41">
        <f t="shared" si="18"/>
        <v>55700</v>
      </c>
      <c r="C340" s="4">
        <f t="shared" si="20"/>
        <v>324</v>
      </c>
      <c r="D340" s="32">
        <f t="shared" si="19"/>
        <v>0</v>
      </c>
      <c r="E340" s="32">
        <f>ROUND(Table157[[#This Row],[Beginning Balance]]*Table157[[#This Row],[Monthly Interest Rate]],2)</f>
        <v>0</v>
      </c>
      <c r="F340" s="32">
        <f t="shared" si="21"/>
        <v>-68</v>
      </c>
      <c r="G340" s="45">
        <f>IFERROR(IF($C$13="No","N/A",IF(Table157[[#This Row],[Period]]=1,$C$6,PMT(InterestRate*AmortizationMultiplier/12,Table157[[#This Row],[Am Thru]],-Table157[[#This Row],[Beginning Balance]]))),0)</f>
        <v>0</v>
      </c>
      <c r="H340" s="32">
        <f>MAX(0,IF(C340=$C$4,D340,ROUND(IF($C$3="Fixed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0" s="32">
        <f>ROUND(Table157[[#This Row],[Defaulted Principal]]*IF($C$9="No",$E$4,VLOOKUP(Table157[[#This Row],[Period]],[1]Forecast!$H$2:$L$1048576,3,FALSE)),2)</f>
        <v>0</v>
      </c>
      <c r="L340" s="4">
        <f>Table157[[#This Row],[Period]]+$E$9</f>
        <v>336</v>
      </c>
      <c r="M340" s="32">
        <f>Table157[[#This Row],[Defaulted Principal]]-Table157[[#This Row],[Estimated Loss]]</f>
        <v>0</v>
      </c>
      <c r="N340" s="32">
        <f>IFERROR(VLOOKUP(Table157[[#This Row],[Period]],$L$16:$M$385,2,FALSE),0)</f>
        <v>0</v>
      </c>
      <c r="O340" s="32">
        <f>Table157[[#This Row],[Beginning Balance]]-Table157[[#This Row],[Principal]]-Table157[[#This Row],[Prepayments]]-Table157[[#This Row],[Defaulted Principal]]</f>
        <v>0</v>
      </c>
      <c r="P340" s="32">
        <f>Table157[[#This Row],[Principal]]+Table157[[#This Row],[Interest]]+Table157[[#This Row],[Prepayments]]+Table157[[#This Row],[RecoveredAmount]]</f>
        <v>0</v>
      </c>
      <c r="Q340" s="32">
        <f ca="1">ROUND(Table157[[#This Row],[Cash Flow]]/((1+ActualRateToUse)^(IF(ISNUMBER(SEARCH("Actual",$C$7)),Table157[[#This Row],[Running Total]]/365,Table157[[#This Row],[Period]]/12))),2)</f>
        <v>0</v>
      </c>
      <c r="R340" s="4">
        <f>IF(MONTH(Table157[[#This Row],[Date]])=2,28,DAY(DATE(YEAR(Table157[[#This Row],[Date]]),MONTH(Table157[[#This Row],[Date]])+1,1)-1))</f>
        <v>30</v>
      </c>
      <c r="S340" s="4">
        <f ca="1">SUM(OFFSET(Table157[[#Headers],[Days in month]],1,0):Table157[[#This Row],[Days in month]])</f>
        <v>9855</v>
      </c>
      <c r="T340" s="30">
        <f>InterestRate*AmortizationMultiplier*IF(ISNUMBER(SEARCH("Actual",$C$7)),Table157[[#This Row],[Days in month]]/365,1/12)</f>
        <v>2.8749999999999995E-3</v>
      </c>
    </row>
    <row r="341" spans="2:20" x14ac:dyDescent="0.2">
      <c r="B341" s="41">
        <f t="shared" si="18"/>
        <v>55731</v>
      </c>
      <c r="C341" s="4">
        <f t="shared" si="20"/>
        <v>325</v>
      </c>
      <c r="D341" s="32">
        <f t="shared" si="19"/>
        <v>0</v>
      </c>
      <c r="E341" s="32">
        <f>ROUND(Table157[[#This Row],[Beginning Balance]]*Table157[[#This Row],[Monthly Interest Rate]],2)</f>
        <v>0</v>
      </c>
      <c r="F341" s="32">
        <f t="shared" si="21"/>
        <v>-69</v>
      </c>
      <c r="G341" s="45">
        <f>IFERROR(IF($C$13="No","N/A",IF(Table157[[#This Row],[Period]]=1,$C$6,PMT(InterestRate*AmortizationMultiplier/12,Table157[[#This Row],[Am Thru]],-Table157[[#This Row],[Beginning Balance]]))),0)</f>
        <v>0</v>
      </c>
      <c r="H341" s="32">
        <f>MAX(0,IF(C341=$C$4,D341,ROUND(IF($C$3="Fixed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1" s="32">
        <f>ROUND(Table157[[#This Row],[Defaulted Principal]]*IF($C$9="No",$E$4,VLOOKUP(Table157[[#This Row],[Period]],[1]Forecast!$H$2:$L$1048576,3,FALSE)),2)</f>
        <v>0</v>
      </c>
      <c r="L341" s="4">
        <f>Table157[[#This Row],[Period]]+$E$9</f>
        <v>337</v>
      </c>
      <c r="M341" s="32">
        <f>Table157[[#This Row],[Defaulted Principal]]-Table157[[#This Row],[Estimated Loss]]</f>
        <v>0</v>
      </c>
      <c r="N341" s="32">
        <f>IFERROR(VLOOKUP(Table157[[#This Row],[Period]],$L$16:$M$385,2,FALSE),0)</f>
        <v>0</v>
      </c>
      <c r="O341" s="32">
        <f>Table157[[#This Row],[Beginning Balance]]-Table157[[#This Row],[Principal]]-Table157[[#This Row],[Prepayments]]-Table157[[#This Row],[Defaulted Principal]]</f>
        <v>0</v>
      </c>
      <c r="P341" s="32">
        <f>Table157[[#This Row],[Principal]]+Table157[[#This Row],[Interest]]+Table157[[#This Row],[Prepayments]]+Table157[[#This Row],[RecoveredAmount]]</f>
        <v>0</v>
      </c>
      <c r="Q341" s="32">
        <f ca="1">ROUND(Table157[[#This Row],[Cash Flow]]/((1+ActualRateToUse)^(IF(ISNUMBER(SEARCH("Actual",$C$7)),Table157[[#This Row],[Running Total]]/365,Table157[[#This Row],[Period]]/12))),2)</f>
        <v>0</v>
      </c>
      <c r="R341" s="4">
        <f>IF(MONTH(Table157[[#This Row],[Date]])=2,28,DAY(DATE(YEAR(Table157[[#This Row],[Date]]),MONTH(Table157[[#This Row],[Date]])+1,1)-1))</f>
        <v>31</v>
      </c>
      <c r="S341" s="4">
        <f ca="1">SUM(OFFSET(Table157[[#Headers],[Days in month]],1,0):Table157[[#This Row],[Days in month]])</f>
        <v>9886</v>
      </c>
      <c r="T341" s="30">
        <f>InterestRate*AmortizationMultiplier*IF(ISNUMBER(SEARCH("Actual",$C$7)),Table157[[#This Row],[Days in month]]/365,1/12)</f>
        <v>2.9708333333333331E-3</v>
      </c>
    </row>
    <row r="342" spans="2:20" x14ac:dyDescent="0.2">
      <c r="B342" s="41">
        <f t="shared" si="18"/>
        <v>55762</v>
      </c>
      <c r="C342" s="4">
        <f t="shared" si="20"/>
        <v>326</v>
      </c>
      <c r="D342" s="32">
        <f t="shared" si="19"/>
        <v>0</v>
      </c>
      <c r="E342" s="32">
        <f>ROUND(Table157[[#This Row],[Beginning Balance]]*Table157[[#This Row],[Monthly Interest Rate]],2)</f>
        <v>0</v>
      </c>
      <c r="F342" s="32">
        <f t="shared" si="21"/>
        <v>-70</v>
      </c>
      <c r="G342" s="45">
        <f>IFERROR(IF($C$13="No","N/A",IF(Table157[[#This Row],[Period]]=1,$C$6,PMT(InterestRate*AmortizationMultiplier/12,Table157[[#This Row],[Am Thru]],-Table157[[#This Row],[Beginning Balance]]))),0)</f>
        <v>0</v>
      </c>
      <c r="H342" s="32">
        <f>MAX(0,IF(C342=$C$4,D342,ROUND(IF($C$3="Fixed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2" s="32">
        <f>ROUND(Table157[[#This Row],[Defaulted Principal]]*IF($C$9="No",$E$4,VLOOKUP(Table157[[#This Row],[Period]],[1]Forecast!$H$2:$L$1048576,3,FALSE)),2)</f>
        <v>0</v>
      </c>
      <c r="L342" s="4">
        <f>Table157[[#This Row],[Period]]+$E$9</f>
        <v>338</v>
      </c>
      <c r="M342" s="32">
        <f>Table157[[#This Row],[Defaulted Principal]]-Table157[[#This Row],[Estimated Loss]]</f>
        <v>0</v>
      </c>
      <c r="N342" s="32">
        <f>IFERROR(VLOOKUP(Table157[[#This Row],[Period]],$L$16:$M$385,2,FALSE),0)</f>
        <v>0</v>
      </c>
      <c r="O342" s="32">
        <f>Table157[[#This Row],[Beginning Balance]]-Table157[[#This Row],[Principal]]-Table157[[#This Row],[Prepayments]]-Table157[[#This Row],[Defaulted Principal]]</f>
        <v>0</v>
      </c>
      <c r="P342" s="32">
        <f>Table157[[#This Row],[Principal]]+Table157[[#This Row],[Interest]]+Table157[[#This Row],[Prepayments]]+Table157[[#This Row],[RecoveredAmount]]</f>
        <v>0</v>
      </c>
      <c r="Q342" s="32">
        <f ca="1">ROUND(Table157[[#This Row],[Cash Flow]]/((1+ActualRateToUse)^(IF(ISNUMBER(SEARCH("Actual",$C$7)),Table157[[#This Row],[Running Total]]/365,Table157[[#This Row],[Period]]/12))),2)</f>
        <v>0</v>
      </c>
      <c r="R342" s="4">
        <f>IF(MONTH(Table157[[#This Row],[Date]])=2,28,DAY(DATE(YEAR(Table157[[#This Row],[Date]]),MONTH(Table157[[#This Row],[Date]])+1,1)-1))</f>
        <v>31</v>
      </c>
      <c r="S342" s="4">
        <f ca="1">SUM(OFFSET(Table157[[#Headers],[Days in month]],1,0):Table157[[#This Row],[Days in month]])</f>
        <v>9917</v>
      </c>
      <c r="T342" s="30">
        <f>InterestRate*AmortizationMultiplier*IF(ISNUMBER(SEARCH("Actual",$C$7)),Table157[[#This Row],[Days in month]]/365,1/12)</f>
        <v>2.9708333333333331E-3</v>
      </c>
    </row>
    <row r="343" spans="2:20" x14ac:dyDescent="0.2">
      <c r="B343" s="41">
        <f t="shared" si="18"/>
        <v>55792</v>
      </c>
      <c r="C343" s="4">
        <f t="shared" si="20"/>
        <v>327</v>
      </c>
      <c r="D343" s="32">
        <f t="shared" si="19"/>
        <v>0</v>
      </c>
      <c r="E343" s="32">
        <f>ROUND(Table157[[#This Row],[Beginning Balance]]*Table157[[#This Row],[Monthly Interest Rate]],2)</f>
        <v>0</v>
      </c>
      <c r="F343" s="32">
        <f t="shared" si="21"/>
        <v>-71</v>
      </c>
      <c r="G343" s="45">
        <f>IFERROR(IF($C$13="No","N/A",IF(Table157[[#This Row],[Period]]=1,$C$6,PMT(InterestRate*AmortizationMultiplier/12,Table157[[#This Row],[Am Thru]],-Table157[[#This Row],[Beginning Balance]]))),0)</f>
        <v>0</v>
      </c>
      <c r="H343" s="32">
        <f>MAX(0,IF(C343=$C$4,D343,ROUND(IF($C$3="Fixed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3" s="32">
        <f>ROUND(Table157[[#This Row],[Defaulted Principal]]*IF($C$9="No",$E$4,VLOOKUP(Table157[[#This Row],[Period]],[1]Forecast!$H$2:$L$1048576,3,FALSE)),2)</f>
        <v>0</v>
      </c>
      <c r="L343" s="4">
        <f>Table157[[#This Row],[Period]]+$E$9</f>
        <v>339</v>
      </c>
      <c r="M343" s="32">
        <f>Table157[[#This Row],[Defaulted Principal]]-Table157[[#This Row],[Estimated Loss]]</f>
        <v>0</v>
      </c>
      <c r="N343" s="32">
        <f>IFERROR(VLOOKUP(Table157[[#This Row],[Period]],$L$16:$M$385,2,FALSE),0)</f>
        <v>0</v>
      </c>
      <c r="O343" s="32">
        <f>Table157[[#This Row],[Beginning Balance]]-Table157[[#This Row],[Principal]]-Table157[[#This Row],[Prepayments]]-Table157[[#This Row],[Defaulted Principal]]</f>
        <v>0</v>
      </c>
      <c r="P343" s="32">
        <f>Table157[[#This Row],[Principal]]+Table157[[#This Row],[Interest]]+Table157[[#This Row],[Prepayments]]+Table157[[#This Row],[RecoveredAmount]]</f>
        <v>0</v>
      </c>
      <c r="Q343" s="32">
        <f ca="1">ROUND(Table157[[#This Row],[Cash Flow]]/((1+ActualRateToUse)^(IF(ISNUMBER(SEARCH("Actual",$C$7)),Table157[[#This Row],[Running Total]]/365,Table157[[#This Row],[Period]]/12))),2)</f>
        <v>0</v>
      </c>
      <c r="R343" s="4">
        <f>IF(MONTH(Table157[[#This Row],[Date]])=2,28,DAY(DATE(YEAR(Table157[[#This Row],[Date]]),MONTH(Table157[[#This Row],[Date]])+1,1)-1))</f>
        <v>30</v>
      </c>
      <c r="S343" s="4">
        <f ca="1">SUM(OFFSET(Table157[[#Headers],[Days in month]],1,0):Table157[[#This Row],[Days in month]])</f>
        <v>9947</v>
      </c>
      <c r="T343" s="30">
        <f>InterestRate*AmortizationMultiplier*IF(ISNUMBER(SEARCH("Actual",$C$7)),Table157[[#This Row],[Days in month]]/365,1/12)</f>
        <v>2.8749999999999995E-3</v>
      </c>
    </row>
    <row r="344" spans="2:20" x14ac:dyDescent="0.2">
      <c r="B344" s="41">
        <f t="shared" si="18"/>
        <v>55823</v>
      </c>
      <c r="C344" s="4">
        <f t="shared" si="20"/>
        <v>328</v>
      </c>
      <c r="D344" s="32">
        <f t="shared" si="19"/>
        <v>0</v>
      </c>
      <c r="E344" s="32">
        <f>ROUND(Table157[[#This Row],[Beginning Balance]]*Table157[[#This Row],[Monthly Interest Rate]],2)</f>
        <v>0</v>
      </c>
      <c r="F344" s="32">
        <f t="shared" si="21"/>
        <v>-72</v>
      </c>
      <c r="G344" s="45">
        <f>IFERROR(IF($C$13="No","N/A",IF(Table157[[#This Row],[Period]]=1,$C$6,PMT(InterestRate*AmortizationMultiplier/12,Table157[[#This Row],[Am Thru]],-Table157[[#This Row],[Beginning Balance]]))),0)</f>
        <v>0</v>
      </c>
      <c r="H344" s="32">
        <f>MAX(0,IF(C344=$C$4,D344,ROUND(IF($C$3="Fixed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4" s="32">
        <f>ROUND(Table157[[#This Row],[Defaulted Principal]]*IF($C$9="No",$E$4,VLOOKUP(Table157[[#This Row],[Period]],[1]Forecast!$H$2:$L$1048576,3,FALSE)),2)</f>
        <v>0</v>
      </c>
      <c r="L344" s="4">
        <f>Table157[[#This Row],[Period]]+$E$9</f>
        <v>340</v>
      </c>
      <c r="M344" s="32">
        <f>Table157[[#This Row],[Defaulted Principal]]-Table157[[#This Row],[Estimated Loss]]</f>
        <v>0</v>
      </c>
      <c r="N344" s="32">
        <f>IFERROR(VLOOKUP(Table157[[#This Row],[Period]],$L$16:$M$385,2,FALSE),0)</f>
        <v>0</v>
      </c>
      <c r="O344" s="32">
        <f>Table157[[#This Row],[Beginning Balance]]-Table157[[#This Row],[Principal]]-Table157[[#This Row],[Prepayments]]-Table157[[#This Row],[Defaulted Principal]]</f>
        <v>0</v>
      </c>
      <c r="P344" s="32">
        <f>Table157[[#This Row],[Principal]]+Table157[[#This Row],[Interest]]+Table157[[#This Row],[Prepayments]]+Table157[[#This Row],[RecoveredAmount]]</f>
        <v>0</v>
      </c>
      <c r="Q344" s="32">
        <f ca="1">ROUND(Table157[[#This Row],[Cash Flow]]/((1+ActualRateToUse)^(IF(ISNUMBER(SEARCH("Actual",$C$7)),Table157[[#This Row],[Running Total]]/365,Table157[[#This Row],[Period]]/12))),2)</f>
        <v>0</v>
      </c>
      <c r="R344" s="4">
        <f>IF(MONTH(Table157[[#This Row],[Date]])=2,28,DAY(DATE(YEAR(Table157[[#This Row],[Date]]),MONTH(Table157[[#This Row],[Date]])+1,1)-1))</f>
        <v>31</v>
      </c>
      <c r="S344" s="4">
        <f ca="1">SUM(OFFSET(Table157[[#Headers],[Days in month]],1,0):Table157[[#This Row],[Days in month]])</f>
        <v>9978</v>
      </c>
      <c r="T344" s="30">
        <f>InterestRate*AmortizationMultiplier*IF(ISNUMBER(SEARCH("Actual",$C$7)),Table157[[#This Row],[Days in month]]/365,1/12)</f>
        <v>2.9708333333333331E-3</v>
      </c>
    </row>
    <row r="345" spans="2:20" x14ac:dyDescent="0.2">
      <c r="B345" s="41">
        <f t="shared" si="18"/>
        <v>55853</v>
      </c>
      <c r="C345" s="4">
        <f t="shared" si="20"/>
        <v>329</v>
      </c>
      <c r="D345" s="32">
        <f t="shared" si="19"/>
        <v>0</v>
      </c>
      <c r="E345" s="32">
        <f>ROUND(Table157[[#This Row],[Beginning Balance]]*Table157[[#This Row],[Monthly Interest Rate]],2)</f>
        <v>0</v>
      </c>
      <c r="F345" s="32">
        <f t="shared" si="21"/>
        <v>-73</v>
      </c>
      <c r="G345" s="45">
        <f>IFERROR(IF($C$13="No","N/A",IF(Table157[[#This Row],[Period]]=1,$C$6,PMT(InterestRate*AmortizationMultiplier/12,Table157[[#This Row],[Am Thru]],-Table157[[#This Row],[Beginning Balance]]))),0)</f>
        <v>0</v>
      </c>
      <c r="H345" s="32">
        <f>MAX(0,IF(C345=$C$4,D345,ROUND(IF($C$3="Fixed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5" s="32">
        <f>ROUND(Table157[[#This Row],[Defaulted Principal]]*IF($C$9="No",$E$4,VLOOKUP(Table157[[#This Row],[Period]],[1]Forecast!$H$2:$L$1048576,3,FALSE)),2)</f>
        <v>0</v>
      </c>
      <c r="L345" s="4">
        <f>Table157[[#This Row],[Period]]+$E$9</f>
        <v>341</v>
      </c>
      <c r="M345" s="32">
        <f>Table157[[#This Row],[Defaulted Principal]]-Table157[[#This Row],[Estimated Loss]]</f>
        <v>0</v>
      </c>
      <c r="N345" s="32">
        <f>IFERROR(VLOOKUP(Table157[[#This Row],[Period]],$L$16:$M$385,2,FALSE),0)</f>
        <v>0</v>
      </c>
      <c r="O345" s="32">
        <f>Table157[[#This Row],[Beginning Balance]]-Table157[[#This Row],[Principal]]-Table157[[#This Row],[Prepayments]]-Table157[[#This Row],[Defaulted Principal]]</f>
        <v>0</v>
      </c>
      <c r="P345" s="32">
        <f>Table157[[#This Row],[Principal]]+Table157[[#This Row],[Interest]]+Table157[[#This Row],[Prepayments]]+Table157[[#This Row],[RecoveredAmount]]</f>
        <v>0</v>
      </c>
      <c r="Q345" s="32">
        <f ca="1">ROUND(Table157[[#This Row],[Cash Flow]]/((1+ActualRateToUse)^(IF(ISNUMBER(SEARCH("Actual",$C$7)),Table157[[#This Row],[Running Total]]/365,Table157[[#This Row],[Period]]/12))),2)</f>
        <v>0</v>
      </c>
      <c r="R345" s="4">
        <f>IF(MONTH(Table157[[#This Row],[Date]])=2,28,DAY(DATE(YEAR(Table157[[#This Row],[Date]]),MONTH(Table157[[#This Row],[Date]])+1,1)-1))</f>
        <v>30</v>
      </c>
      <c r="S345" s="4">
        <f ca="1">SUM(OFFSET(Table157[[#Headers],[Days in month]],1,0):Table157[[#This Row],[Days in month]])</f>
        <v>10008</v>
      </c>
      <c r="T345" s="30">
        <f>InterestRate*AmortizationMultiplier*IF(ISNUMBER(SEARCH("Actual",$C$7)),Table157[[#This Row],[Days in month]]/365,1/12)</f>
        <v>2.8749999999999995E-3</v>
      </c>
    </row>
    <row r="346" spans="2:20" x14ac:dyDescent="0.2">
      <c r="B346" s="41">
        <f t="shared" si="18"/>
        <v>55884</v>
      </c>
      <c r="C346" s="4">
        <f t="shared" si="20"/>
        <v>330</v>
      </c>
      <c r="D346" s="32">
        <f t="shared" si="19"/>
        <v>0</v>
      </c>
      <c r="E346" s="32">
        <f>ROUND(Table157[[#This Row],[Beginning Balance]]*Table157[[#This Row],[Monthly Interest Rate]],2)</f>
        <v>0</v>
      </c>
      <c r="F346" s="32">
        <f t="shared" si="21"/>
        <v>-74</v>
      </c>
      <c r="G346" s="45">
        <f>IFERROR(IF($C$13="No","N/A",IF(Table157[[#This Row],[Period]]=1,$C$6,PMT(InterestRate*AmortizationMultiplier/12,Table157[[#This Row],[Am Thru]],-Table157[[#This Row],[Beginning Balance]]))),0)</f>
        <v>0</v>
      </c>
      <c r="H346" s="32">
        <f>MAX(0,IF(C346=$C$4,D346,ROUND(IF($C$3="Fixed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6" s="32">
        <f>ROUND(Table157[[#This Row],[Defaulted Principal]]*IF($C$9="No",$E$4,VLOOKUP(Table157[[#This Row],[Period]],[1]Forecast!$H$2:$L$1048576,3,FALSE)),2)</f>
        <v>0</v>
      </c>
      <c r="L346" s="4">
        <f>Table157[[#This Row],[Period]]+$E$9</f>
        <v>342</v>
      </c>
      <c r="M346" s="32">
        <f>Table157[[#This Row],[Defaulted Principal]]-Table157[[#This Row],[Estimated Loss]]</f>
        <v>0</v>
      </c>
      <c r="N346" s="32">
        <f>IFERROR(VLOOKUP(Table157[[#This Row],[Period]],$L$16:$M$385,2,FALSE),0)</f>
        <v>0</v>
      </c>
      <c r="O346" s="32">
        <f>Table157[[#This Row],[Beginning Balance]]-Table157[[#This Row],[Principal]]-Table157[[#This Row],[Prepayments]]-Table157[[#This Row],[Defaulted Principal]]</f>
        <v>0</v>
      </c>
      <c r="P346" s="32">
        <f>Table157[[#This Row],[Principal]]+Table157[[#This Row],[Interest]]+Table157[[#This Row],[Prepayments]]+Table157[[#This Row],[RecoveredAmount]]</f>
        <v>0</v>
      </c>
      <c r="Q346" s="32">
        <f ca="1">ROUND(Table157[[#This Row],[Cash Flow]]/((1+ActualRateToUse)^(IF(ISNUMBER(SEARCH("Actual",$C$7)),Table157[[#This Row],[Running Total]]/365,Table157[[#This Row],[Period]]/12))),2)</f>
        <v>0</v>
      </c>
      <c r="R346" s="4">
        <f>IF(MONTH(Table157[[#This Row],[Date]])=2,28,DAY(DATE(YEAR(Table157[[#This Row],[Date]]),MONTH(Table157[[#This Row],[Date]])+1,1)-1))</f>
        <v>31</v>
      </c>
      <c r="S346" s="4">
        <f ca="1">SUM(OFFSET(Table157[[#Headers],[Days in month]],1,0):Table157[[#This Row],[Days in month]])</f>
        <v>10039</v>
      </c>
      <c r="T346" s="30">
        <f>InterestRate*AmortizationMultiplier*IF(ISNUMBER(SEARCH("Actual",$C$7)),Table157[[#This Row],[Days in month]]/365,1/12)</f>
        <v>2.9708333333333331E-3</v>
      </c>
    </row>
    <row r="347" spans="2:20" x14ac:dyDescent="0.2">
      <c r="B347" s="41">
        <f t="shared" si="18"/>
        <v>55915</v>
      </c>
      <c r="C347" s="4">
        <f t="shared" si="20"/>
        <v>331</v>
      </c>
      <c r="D347" s="32">
        <f t="shared" si="19"/>
        <v>0</v>
      </c>
      <c r="E347" s="32">
        <f>ROUND(Table157[[#This Row],[Beginning Balance]]*Table157[[#This Row],[Monthly Interest Rate]],2)</f>
        <v>0</v>
      </c>
      <c r="F347" s="32">
        <f t="shared" si="21"/>
        <v>-75</v>
      </c>
      <c r="G347" s="45">
        <f>IFERROR(IF($C$13="No","N/A",IF(Table157[[#This Row],[Period]]=1,$C$6,PMT(InterestRate*AmortizationMultiplier/12,Table157[[#This Row],[Am Thru]],-Table157[[#This Row],[Beginning Balance]]))),0)</f>
        <v>0</v>
      </c>
      <c r="H347" s="32">
        <f>MAX(0,IF(C347=$C$4,D347,ROUND(IF($C$3="Fixed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7" s="32">
        <f>ROUND(Table157[[#This Row],[Defaulted Principal]]*IF($C$9="No",$E$4,VLOOKUP(Table157[[#This Row],[Period]],[1]Forecast!$H$2:$L$1048576,3,FALSE)),2)</f>
        <v>0</v>
      </c>
      <c r="L347" s="4">
        <f>Table157[[#This Row],[Period]]+$E$9</f>
        <v>343</v>
      </c>
      <c r="M347" s="32">
        <f>Table157[[#This Row],[Defaulted Principal]]-Table157[[#This Row],[Estimated Loss]]</f>
        <v>0</v>
      </c>
      <c r="N347" s="32">
        <f>IFERROR(VLOOKUP(Table157[[#This Row],[Period]],$L$16:$M$385,2,FALSE),0)</f>
        <v>0</v>
      </c>
      <c r="O347" s="32">
        <f>Table157[[#This Row],[Beginning Balance]]-Table157[[#This Row],[Principal]]-Table157[[#This Row],[Prepayments]]-Table157[[#This Row],[Defaulted Principal]]</f>
        <v>0</v>
      </c>
      <c r="P347" s="32">
        <f>Table157[[#This Row],[Principal]]+Table157[[#This Row],[Interest]]+Table157[[#This Row],[Prepayments]]+Table157[[#This Row],[RecoveredAmount]]</f>
        <v>0</v>
      </c>
      <c r="Q347" s="32">
        <f ca="1">ROUND(Table157[[#This Row],[Cash Flow]]/((1+ActualRateToUse)^(IF(ISNUMBER(SEARCH("Actual",$C$7)),Table157[[#This Row],[Running Total]]/365,Table157[[#This Row],[Period]]/12))),2)</f>
        <v>0</v>
      </c>
      <c r="R347" s="4">
        <f>IF(MONTH(Table157[[#This Row],[Date]])=2,28,DAY(DATE(YEAR(Table157[[#This Row],[Date]]),MONTH(Table157[[#This Row],[Date]])+1,1)-1))</f>
        <v>31</v>
      </c>
      <c r="S347" s="4">
        <f ca="1">SUM(OFFSET(Table157[[#Headers],[Days in month]],1,0):Table157[[#This Row],[Days in month]])</f>
        <v>10070</v>
      </c>
      <c r="T347" s="30">
        <f>InterestRate*AmortizationMultiplier*IF(ISNUMBER(SEARCH("Actual",$C$7)),Table157[[#This Row],[Days in month]]/365,1/12)</f>
        <v>2.9708333333333331E-3</v>
      </c>
    </row>
    <row r="348" spans="2:20" x14ac:dyDescent="0.2">
      <c r="B348" s="41">
        <f t="shared" si="18"/>
        <v>55943</v>
      </c>
      <c r="C348" s="4">
        <f t="shared" si="20"/>
        <v>332</v>
      </c>
      <c r="D348" s="32">
        <f t="shared" si="19"/>
        <v>0</v>
      </c>
      <c r="E348" s="32">
        <f>ROUND(Table157[[#This Row],[Beginning Balance]]*Table157[[#This Row],[Monthly Interest Rate]],2)</f>
        <v>0</v>
      </c>
      <c r="F348" s="32">
        <f t="shared" si="21"/>
        <v>-76</v>
      </c>
      <c r="G348" s="45">
        <f>IFERROR(IF($C$13="No","N/A",IF(Table157[[#This Row],[Period]]=1,$C$6,PMT(InterestRate*AmortizationMultiplier/12,Table157[[#This Row],[Am Thru]],-Table157[[#This Row],[Beginning Balance]]))),0)</f>
        <v>0</v>
      </c>
      <c r="H348" s="32">
        <f>MAX(0,IF(C348=$C$4,D348,ROUND(IF($C$3="Fixed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8" s="32">
        <f>ROUND(Table157[[#This Row],[Defaulted Principal]]*IF($C$9="No",$E$4,VLOOKUP(Table157[[#This Row],[Period]],[1]Forecast!$H$2:$L$1048576,3,FALSE)),2)</f>
        <v>0</v>
      </c>
      <c r="L348" s="4">
        <f>Table157[[#This Row],[Period]]+$E$9</f>
        <v>344</v>
      </c>
      <c r="M348" s="32">
        <f>Table157[[#This Row],[Defaulted Principal]]-Table157[[#This Row],[Estimated Loss]]</f>
        <v>0</v>
      </c>
      <c r="N348" s="32">
        <f>IFERROR(VLOOKUP(Table157[[#This Row],[Period]],$L$16:$M$385,2,FALSE),0)</f>
        <v>0</v>
      </c>
      <c r="O348" s="32">
        <f>Table157[[#This Row],[Beginning Balance]]-Table157[[#This Row],[Principal]]-Table157[[#This Row],[Prepayments]]-Table157[[#This Row],[Defaulted Principal]]</f>
        <v>0</v>
      </c>
      <c r="P348" s="32">
        <f>Table157[[#This Row],[Principal]]+Table157[[#This Row],[Interest]]+Table157[[#This Row],[Prepayments]]+Table157[[#This Row],[RecoveredAmount]]</f>
        <v>0</v>
      </c>
      <c r="Q348" s="32">
        <f ca="1">ROUND(Table157[[#This Row],[Cash Flow]]/((1+ActualRateToUse)^(IF(ISNUMBER(SEARCH("Actual",$C$7)),Table157[[#This Row],[Running Total]]/365,Table157[[#This Row],[Period]]/12))),2)</f>
        <v>0</v>
      </c>
      <c r="R348" s="4">
        <f>IF(MONTH(Table157[[#This Row],[Date]])=2,28,DAY(DATE(YEAR(Table157[[#This Row],[Date]]),MONTH(Table157[[#This Row],[Date]])+1,1)-1))</f>
        <v>28</v>
      </c>
      <c r="S348" s="4">
        <f ca="1">SUM(OFFSET(Table157[[#Headers],[Days in month]],1,0):Table157[[#This Row],[Days in month]])</f>
        <v>10098</v>
      </c>
      <c r="T348" s="30">
        <f>InterestRate*AmortizationMultiplier*IF(ISNUMBER(SEARCH("Actual",$C$7)),Table157[[#This Row],[Days in month]]/365,1/12)</f>
        <v>2.6833333333333336E-3</v>
      </c>
    </row>
    <row r="349" spans="2:20" x14ac:dyDescent="0.2">
      <c r="B349" s="41">
        <f t="shared" si="18"/>
        <v>55974</v>
      </c>
      <c r="C349" s="4">
        <f t="shared" si="20"/>
        <v>333</v>
      </c>
      <c r="D349" s="32">
        <f t="shared" si="19"/>
        <v>0</v>
      </c>
      <c r="E349" s="32">
        <f>ROUND(Table157[[#This Row],[Beginning Balance]]*Table157[[#This Row],[Monthly Interest Rate]],2)</f>
        <v>0</v>
      </c>
      <c r="F349" s="32">
        <f t="shared" si="21"/>
        <v>-77</v>
      </c>
      <c r="G349" s="45">
        <f>IFERROR(IF($C$13="No","N/A",IF(Table157[[#This Row],[Period]]=1,$C$6,PMT(InterestRate*AmortizationMultiplier/12,Table157[[#This Row],[Am Thru]],-Table157[[#This Row],[Beginning Balance]]))),0)</f>
        <v>0</v>
      </c>
      <c r="H349" s="32">
        <f>MAX(0,IF(C349=$C$4,D349,ROUND(IF($C$3="Fixed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4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4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49" s="32">
        <f>ROUND(Table157[[#This Row],[Defaulted Principal]]*IF($C$9="No",$E$4,VLOOKUP(Table157[[#This Row],[Period]],[1]Forecast!$H$2:$L$1048576,3,FALSE)),2)</f>
        <v>0</v>
      </c>
      <c r="L349" s="4">
        <f>Table157[[#This Row],[Period]]+$E$9</f>
        <v>345</v>
      </c>
      <c r="M349" s="32">
        <f>Table157[[#This Row],[Defaulted Principal]]-Table157[[#This Row],[Estimated Loss]]</f>
        <v>0</v>
      </c>
      <c r="N349" s="32">
        <f>IFERROR(VLOOKUP(Table157[[#This Row],[Period]],$L$16:$M$385,2,FALSE),0)</f>
        <v>0</v>
      </c>
      <c r="O349" s="32">
        <f>Table157[[#This Row],[Beginning Balance]]-Table157[[#This Row],[Principal]]-Table157[[#This Row],[Prepayments]]-Table157[[#This Row],[Defaulted Principal]]</f>
        <v>0</v>
      </c>
      <c r="P349" s="32">
        <f>Table157[[#This Row],[Principal]]+Table157[[#This Row],[Interest]]+Table157[[#This Row],[Prepayments]]+Table157[[#This Row],[RecoveredAmount]]</f>
        <v>0</v>
      </c>
      <c r="Q349" s="32">
        <f ca="1">ROUND(Table157[[#This Row],[Cash Flow]]/((1+ActualRateToUse)^(IF(ISNUMBER(SEARCH("Actual",$C$7)),Table157[[#This Row],[Running Total]]/365,Table157[[#This Row],[Period]]/12))),2)</f>
        <v>0</v>
      </c>
      <c r="R349" s="4">
        <f>IF(MONTH(Table157[[#This Row],[Date]])=2,28,DAY(DATE(YEAR(Table157[[#This Row],[Date]]),MONTH(Table157[[#This Row],[Date]])+1,1)-1))</f>
        <v>31</v>
      </c>
      <c r="S349" s="4">
        <f ca="1">SUM(OFFSET(Table157[[#Headers],[Days in month]],1,0):Table157[[#This Row],[Days in month]])</f>
        <v>10129</v>
      </c>
      <c r="T349" s="30">
        <f>InterestRate*AmortizationMultiplier*IF(ISNUMBER(SEARCH("Actual",$C$7)),Table157[[#This Row],[Days in month]]/365,1/12)</f>
        <v>2.9708333333333331E-3</v>
      </c>
    </row>
    <row r="350" spans="2:20" x14ac:dyDescent="0.2">
      <c r="B350" s="41">
        <f t="shared" si="18"/>
        <v>56004</v>
      </c>
      <c r="C350" s="4">
        <f t="shared" si="20"/>
        <v>334</v>
      </c>
      <c r="D350" s="32">
        <f t="shared" si="19"/>
        <v>0</v>
      </c>
      <c r="E350" s="32">
        <f>ROUND(Table157[[#This Row],[Beginning Balance]]*Table157[[#This Row],[Monthly Interest Rate]],2)</f>
        <v>0</v>
      </c>
      <c r="F350" s="32">
        <f t="shared" si="21"/>
        <v>-78</v>
      </c>
      <c r="G350" s="45">
        <f>IFERROR(IF($C$13="No","N/A",IF(Table157[[#This Row],[Period]]=1,$C$6,PMT(InterestRate*AmortizationMultiplier/12,Table157[[#This Row],[Am Thru]],-Table157[[#This Row],[Beginning Balance]]))),0)</f>
        <v>0</v>
      </c>
      <c r="H350" s="32">
        <f>MAX(0,IF(C350=$C$4,D350,ROUND(IF($C$3="Fixed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0" s="32">
        <f>ROUND(Table157[[#This Row],[Defaulted Principal]]*IF($C$9="No",$E$4,VLOOKUP(Table157[[#This Row],[Period]],[1]Forecast!$H$2:$L$1048576,3,FALSE)),2)</f>
        <v>0</v>
      </c>
      <c r="L350" s="4">
        <f>Table157[[#This Row],[Period]]+$E$9</f>
        <v>346</v>
      </c>
      <c r="M350" s="32">
        <f>Table157[[#This Row],[Defaulted Principal]]-Table157[[#This Row],[Estimated Loss]]</f>
        <v>0</v>
      </c>
      <c r="N350" s="32">
        <f>IFERROR(VLOOKUP(Table157[[#This Row],[Period]],$L$16:$M$385,2,FALSE),0)</f>
        <v>0</v>
      </c>
      <c r="O350" s="32">
        <f>Table157[[#This Row],[Beginning Balance]]-Table157[[#This Row],[Principal]]-Table157[[#This Row],[Prepayments]]-Table157[[#This Row],[Defaulted Principal]]</f>
        <v>0</v>
      </c>
      <c r="P350" s="32">
        <f>Table157[[#This Row],[Principal]]+Table157[[#This Row],[Interest]]+Table157[[#This Row],[Prepayments]]+Table157[[#This Row],[RecoveredAmount]]</f>
        <v>0</v>
      </c>
      <c r="Q350" s="32">
        <f ca="1">ROUND(Table157[[#This Row],[Cash Flow]]/((1+ActualRateToUse)^(IF(ISNUMBER(SEARCH("Actual",$C$7)),Table157[[#This Row],[Running Total]]/365,Table157[[#This Row],[Period]]/12))),2)</f>
        <v>0</v>
      </c>
      <c r="R350" s="4">
        <f>IF(MONTH(Table157[[#This Row],[Date]])=2,28,DAY(DATE(YEAR(Table157[[#This Row],[Date]]),MONTH(Table157[[#This Row],[Date]])+1,1)-1))</f>
        <v>30</v>
      </c>
      <c r="S350" s="4">
        <f ca="1">SUM(OFFSET(Table157[[#Headers],[Days in month]],1,0):Table157[[#This Row],[Days in month]])</f>
        <v>10159</v>
      </c>
      <c r="T350" s="30">
        <f>InterestRate*AmortizationMultiplier*IF(ISNUMBER(SEARCH("Actual",$C$7)),Table157[[#This Row],[Days in month]]/365,1/12)</f>
        <v>2.8749999999999995E-3</v>
      </c>
    </row>
    <row r="351" spans="2:20" x14ac:dyDescent="0.2">
      <c r="B351" s="41">
        <f t="shared" si="18"/>
        <v>56035</v>
      </c>
      <c r="C351" s="4">
        <f t="shared" si="20"/>
        <v>335</v>
      </c>
      <c r="D351" s="32">
        <f t="shared" si="19"/>
        <v>0</v>
      </c>
      <c r="E351" s="32">
        <f>ROUND(Table157[[#This Row],[Beginning Balance]]*Table157[[#This Row],[Monthly Interest Rate]],2)</f>
        <v>0</v>
      </c>
      <c r="F351" s="32">
        <f t="shared" si="21"/>
        <v>-79</v>
      </c>
      <c r="G351" s="45">
        <f>IFERROR(IF($C$13="No","N/A",IF(Table157[[#This Row],[Period]]=1,$C$6,PMT(InterestRate*AmortizationMultiplier/12,Table157[[#This Row],[Am Thru]],-Table157[[#This Row],[Beginning Balance]]))),0)</f>
        <v>0</v>
      </c>
      <c r="H351" s="32">
        <f>MAX(0,IF(C351=$C$4,D351,ROUND(IF($C$3="Fixed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1" s="32">
        <f>ROUND(Table157[[#This Row],[Defaulted Principal]]*IF($C$9="No",$E$4,VLOOKUP(Table157[[#This Row],[Period]],[1]Forecast!$H$2:$L$1048576,3,FALSE)),2)</f>
        <v>0</v>
      </c>
      <c r="L351" s="4">
        <f>Table157[[#This Row],[Period]]+$E$9</f>
        <v>347</v>
      </c>
      <c r="M351" s="32">
        <f>Table157[[#This Row],[Defaulted Principal]]-Table157[[#This Row],[Estimated Loss]]</f>
        <v>0</v>
      </c>
      <c r="N351" s="32">
        <f>IFERROR(VLOOKUP(Table157[[#This Row],[Period]],$L$16:$M$385,2,FALSE),0)</f>
        <v>0</v>
      </c>
      <c r="O351" s="32">
        <f>Table157[[#This Row],[Beginning Balance]]-Table157[[#This Row],[Principal]]-Table157[[#This Row],[Prepayments]]-Table157[[#This Row],[Defaulted Principal]]</f>
        <v>0</v>
      </c>
      <c r="P351" s="32">
        <f>Table157[[#This Row],[Principal]]+Table157[[#This Row],[Interest]]+Table157[[#This Row],[Prepayments]]+Table157[[#This Row],[RecoveredAmount]]</f>
        <v>0</v>
      </c>
      <c r="Q351" s="32">
        <f ca="1">ROUND(Table157[[#This Row],[Cash Flow]]/((1+ActualRateToUse)^(IF(ISNUMBER(SEARCH("Actual",$C$7)),Table157[[#This Row],[Running Total]]/365,Table157[[#This Row],[Period]]/12))),2)</f>
        <v>0</v>
      </c>
      <c r="R351" s="4">
        <f>IF(MONTH(Table157[[#This Row],[Date]])=2,28,DAY(DATE(YEAR(Table157[[#This Row],[Date]]),MONTH(Table157[[#This Row],[Date]])+1,1)-1))</f>
        <v>31</v>
      </c>
      <c r="S351" s="4">
        <f ca="1">SUM(OFFSET(Table157[[#Headers],[Days in month]],1,0):Table157[[#This Row],[Days in month]])</f>
        <v>10190</v>
      </c>
      <c r="T351" s="30">
        <f>InterestRate*AmortizationMultiplier*IF(ISNUMBER(SEARCH("Actual",$C$7)),Table157[[#This Row],[Days in month]]/365,1/12)</f>
        <v>2.9708333333333331E-3</v>
      </c>
    </row>
    <row r="352" spans="2:20" x14ac:dyDescent="0.2">
      <c r="B352" s="41">
        <f t="shared" si="18"/>
        <v>56065</v>
      </c>
      <c r="C352" s="4">
        <f t="shared" si="20"/>
        <v>336</v>
      </c>
      <c r="D352" s="32">
        <f t="shared" si="19"/>
        <v>0</v>
      </c>
      <c r="E352" s="32">
        <f>ROUND(Table157[[#This Row],[Beginning Balance]]*Table157[[#This Row],[Monthly Interest Rate]],2)</f>
        <v>0</v>
      </c>
      <c r="F352" s="32">
        <f t="shared" si="21"/>
        <v>-80</v>
      </c>
      <c r="G352" s="45">
        <f>IFERROR(IF($C$13="No","N/A",IF(Table157[[#This Row],[Period]]=1,$C$6,PMT(InterestRate*AmortizationMultiplier/12,Table157[[#This Row],[Am Thru]],-Table157[[#This Row],[Beginning Balance]]))),0)</f>
        <v>0</v>
      </c>
      <c r="H352" s="32">
        <f>MAX(0,IF(C352=$C$4,D352,ROUND(IF($C$3="Fixed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2" s="32">
        <f>ROUND(Table157[[#This Row],[Defaulted Principal]]*IF($C$9="No",$E$4,VLOOKUP(Table157[[#This Row],[Period]],[1]Forecast!$H$2:$L$1048576,3,FALSE)),2)</f>
        <v>0</v>
      </c>
      <c r="L352" s="4">
        <f>Table157[[#This Row],[Period]]+$E$9</f>
        <v>348</v>
      </c>
      <c r="M352" s="32">
        <f>Table157[[#This Row],[Defaulted Principal]]-Table157[[#This Row],[Estimated Loss]]</f>
        <v>0</v>
      </c>
      <c r="N352" s="32">
        <f>IFERROR(VLOOKUP(Table157[[#This Row],[Period]],$L$16:$M$385,2,FALSE),0)</f>
        <v>0</v>
      </c>
      <c r="O352" s="32">
        <f>Table157[[#This Row],[Beginning Balance]]-Table157[[#This Row],[Principal]]-Table157[[#This Row],[Prepayments]]-Table157[[#This Row],[Defaulted Principal]]</f>
        <v>0</v>
      </c>
      <c r="P352" s="32">
        <f>Table157[[#This Row],[Principal]]+Table157[[#This Row],[Interest]]+Table157[[#This Row],[Prepayments]]+Table157[[#This Row],[RecoveredAmount]]</f>
        <v>0</v>
      </c>
      <c r="Q352" s="32">
        <f ca="1">ROUND(Table157[[#This Row],[Cash Flow]]/((1+ActualRateToUse)^(IF(ISNUMBER(SEARCH("Actual",$C$7)),Table157[[#This Row],[Running Total]]/365,Table157[[#This Row],[Period]]/12))),2)</f>
        <v>0</v>
      </c>
      <c r="R352" s="4">
        <f>IF(MONTH(Table157[[#This Row],[Date]])=2,28,DAY(DATE(YEAR(Table157[[#This Row],[Date]]),MONTH(Table157[[#This Row],[Date]])+1,1)-1))</f>
        <v>30</v>
      </c>
      <c r="S352" s="4">
        <f ca="1">SUM(OFFSET(Table157[[#Headers],[Days in month]],1,0):Table157[[#This Row],[Days in month]])</f>
        <v>10220</v>
      </c>
      <c r="T352" s="30">
        <f>InterestRate*AmortizationMultiplier*IF(ISNUMBER(SEARCH("Actual",$C$7)),Table157[[#This Row],[Days in month]]/365,1/12)</f>
        <v>2.8749999999999995E-3</v>
      </c>
    </row>
    <row r="353" spans="2:20" x14ac:dyDescent="0.2">
      <c r="B353" s="41">
        <f t="shared" si="18"/>
        <v>56096</v>
      </c>
      <c r="C353" s="4">
        <f t="shared" si="20"/>
        <v>337</v>
      </c>
      <c r="D353" s="32">
        <f t="shared" si="19"/>
        <v>0</v>
      </c>
      <c r="E353" s="32">
        <f>ROUND(Table157[[#This Row],[Beginning Balance]]*Table157[[#This Row],[Monthly Interest Rate]],2)</f>
        <v>0</v>
      </c>
      <c r="F353" s="32">
        <f t="shared" si="21"/>
        <v>-81</v>
      </c>
      <c r="G353" s="45">
        <f>IFERROR(IF($C$13="No","N/A",IF(Table157[[#This Row],[Period]]=1,$C$6,PMT(InterestRate*AmortizationMultiplier/12,Table157[[#This Row],[Am Thru]],-Table157[[#This Row],[Beginning Balance]]))),0)</f>
        <v>0</v>
      </c>
      <c r="H353" s="32">
        <f>MAX(0,IF(C353=$C$4,D353,ROUND(IF($C$3="Fixed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3" s="32">
        <f>ROUND(Table157[[#This Row],[Defaulted Principal]]*IF($C$9="No",$E$4,VLOOKUP(Table157[[#This Row],[Period]],[1]Forecast!$H$2:$L$1048576,3,FALSE)),2)</f>
        <v>0</v>
      </c>
      <c r="L353" s="4">
        <f>Table157[[#This Row],[Period]]+$E$9</f>
        <v>349</v>
      </c>
      <c r="M353" s="32">
        <f>Table157[[#This Row],[Defaulted Principal]]-Table157[[#This Row],[Estimated Loss]]</f>
        <v>0</v>
      </c>
      <c r="N353" s="32">
        <f>IFERROR(VLOOKUP(Table157[[#This Row],[Period]],$L$16:$M$385,2,FALSE),0)</f>
        <v>0</v>
      </c>
      <c r="O353" s="32">
        <f>Table157[[#This Row],[Beginning Balance]]-Table157[[#This Row],[Principal]]-Table157[[#This Row],[Prepayments]]-Table157[[#This Row],[Defaulted Principal]]</f>
        <v>0</v>
      </c>
      <c r="P353" s="32">
        <f>Table157[[#This Row],[Principal]]+Table157[[#This Row],[Interest]]+Table157[[#This Row],[Prepayments]]+Table157[[#This Row],[RecoveredAmount]]</f>
        <v>0</v>
      </c>
      <c r="Q353" s="32">
        <f ca="1">ROUND(Table157[[#This Row],[Cash Flow]]/((1+ActualRateToUse)^(IF(ISNUMBER(SEARCH("Actual",$C$7)),Table157[[#This Row],[Running Total]]/365,Table157[[#This Row],[Period]]/12))),2)</f>
        <v>0</v>
      </c>
      <c r="R353" s="4">
        <f>IF(MONTH(Table157[[#This Row],[Date]])=2,28,DAY(DATE(YEAR(Table157[[#This Row],[Date]]),MONTH(Table157[[#This Row],[Date]])+1,1)-1))</f>
        <v>31</v>
      </c>
      <c r="S353" s="4">
        <f ca="1">SUM(OFFSET(Table157[[#Headers],[Days in month]],1,0):Table157[[#This Row],[Days in month]])</f>
        <v>10251</v>
      </c>
      <c r="T353" s="30">
        <f>InterestRate*AmortizationMultiplier*IF(ISNUMBER(SEARCH("Actual",$C$7)),Table157[[#This Row],[Days in month]]/365,1/12)</f>
        <v>2.9708333333333331E-3</v>
      </c>
    </row>
    <row r="354" spans="2:20" x14ac:dyDescent="0.2">
      <c r="B354" s="41">
        <f t="shared" si="18"/>
        <v>56127</v>
      </c>
      <c r="C354" s="4">
        <f t="shared" si="20"/>
        <v>338</v>
      </c>
      <c r="D354" s="32">
        <f t="shared" si="19"/>
        <v>0</v>
      </c>
      <c r="E354" s="32">
        <f>ROUND(Table157[[#This Row],[Beginning Balance]]*Table157[[#This Row],[Monthly Interest Rate]],2)</f>
        <v>0</v>
      </c>
      <c r="F354" s="32">
        <f t="shared" si="21"/>
        <v>-82</v>
      </c>
      <c r="G354" s="45">
        <f>IFERROR(IF($C$13="No","N/A",IF(Table157[[#This Row],[Period]]=1,$C$6,PMT(InterestRate*AmortizationMultiplier/12,Table157[[#This Row],[Am Thru]],-Table157[[#This Row],[Beginning Balance]]))),0)</f>
        <v>0</v>
      </c>
      <c r="H354" s="32">
        <f>MAX(0,IF(C354=$C$4,D354,ROUND(IF($C$3="Fixed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4" s="32">
        <f>ROUND(Table157[[#This Row],[Defaulted Principal]]*IF($C$9="No",$E$4,VLOOKUP(Table157[[#This Row],[Period]],[1]Forecast!$H$2:$L$1048576,3,FALSE)),2)</f>
        <v>0</v>
      </c>
      <c r="L354" s="4">
        <f>Table157[[#This Row],[Period]]+$E$9</f>
        <v>350</v>
      </c>
      <c r="M354" s="32">
        <f>Table157[[#This Row],[Defaulted Principal]]-Table157[[#This Row],[Estimated Loss]]</f>
        <v>0</v>
      </c>
      <c r="N354" s="32">
        <f>IFERROR(VLOOKUP(Table157[[#This Row],[Period]],$L$16:$M$385,2,FALSE),0)</f>
        <v>0</v>
      </c>
      <c r="O354" s="32">
        <f>Table157[[#This Row],[Beginning Balance]]-Table157[[#This Row],[Principal]]-Table157[[#This Row],[Prepayments]]-Table157[[#This Row],[Defaulted Principal]]</f>
        <v>0</v>
      </c>
      <c r="P354" s="32">
        <f>Table157[[#This Row],[Principal]]+Table157[[#This Row],[Interest]]+Table157[[#This Row],[Prepayments]]+Table157[[#This Row],[RecoveredAmount]]</f>
        <v>0</v>
      </c>
      <c r="Q354" s="32">
        <f ca="1">ROUND(Table157[[#This Row],[Cash Flow]]/((1+ActualRateToUse)^(IF(ISNUMBER(SEARCH("Actual",$C$7)),Table157[[#This Row],[Running Total]]/365,Table157[[#This Row],[Period]]/12))),2)</f>
        <v>0</v>
      </c>
      <c r="R354" s="4">
        <f>IF(MONTH(Table157[[#This Row],[Date]])=2,28,DAY(DATE(YEAR(Table157[[#This Row],[Date]]),MONTH(Table157[[#This Row],[Date]])+1,1)-1))</f>
        <v>31</v>
      </c>
      <c r="S354" s="4">
        <f ca="1">SUM(OFFSET(Table157[[#Headers],[Days in month]],1,0):Table157[[#This Row],[Days in month]])</f>
        <v>10282</v>
      </c>
      <c r="T354" s="30">
        <f>InterestRate*AmortizationMultiplier*IF(ISNUMBER(SEARCH("Actual",$C$7)),Table157[[#This Row],[Days in month]]/365,1/12)</f>
        <v>2.9708333333333331E-3</v>
      </c>
    </row>
    <row r="355" spans="2:20" x14ac:dyDescent="0.2">
      <c r="B355" s="41">
        <f t="shared" si="18"/>
        <v>56157</v>
      </c>
      <c r="C355" s="4">
        <f t="shared" si="20"/>
        <v>339</v>
      </c>
      <c r="D355" s="32">
        <f t="shared" si="19"/>
        <v>0</v>
      </c>
      <c r="E355" s="32">
        <f>ROUND(Table157[[#This Row],[Beginning Balance]]*Table157[[#This Row],[Monthly Interest Rate]],2)</f>
        <v>0</v>
      </c>
      <c r="F355" s="32">
        <f t="shared" si="21"/>
        <v>-83</v>
      </c>
      <c r="G355" s="45">
        <f>IFERROR(IF($C$13="No","N/A",IF(Table157[[#This Row],[Period]]=1,$C$6,PMT(InterestRate*AmortizationMultiplier/12,Table157[[#This Row],[Am Thru]],-Table157[[#This Row],[Beginning Balance]]))),0)</f>
        <v>0</v>
      </c>
      <c r="H355" s="32">
        <f>MAX(0,IF(C355=$C$4,D355,ROUND(IF($C$3="Fixed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5" s="32">
        <f>ROUND(Table157[[#This Row],[Defaulted Principal]]*IF($C$9="No",$E$4,VLOOKUP(Table157[[#This Row],[Period]],[1]Forecast!$H$2:$L$1048576,3,FALSE)),2)</f>
        <v>0</v>
      </c>
      <c r="L355" s="4">
        <f>Table157[[#This Row],[Period]]+$E$9</f>
        <v>351</v>
      </c>
      <c r="M355" s="32">
        <f>Table157[[#This Row],[Defaulted Principal]]-Table157[[#This Row],[Estimated Loss]]</f>
        <v>0</v>
      </c>
      <c r="N355" s="32">
        <f>IFERROR(VLOOKUP(Table157[[#This Row],[Period]],$L$16:$M$385,2,FALSE),0)</f>
        <v>0</v>
      </c>
      <c r="O355" s="32">
        <f>Table157[[#This Row],[Beginning Balance]]-Table157[[#This Row],[Principal]]-Table157[[#This Row],[Prepayments]]-Table157[[#This Row],[Defaulted Principal]]</f>
        <v>0</v>
      </c>
      <c r="P355" s="32">
        <f>Table157[[#This Row],[Principal]]+Table157[[#This Row],[Interest]]+Table157[[#This Row],[Prepayments]]+Table157[[#This Row],[RecoveredAmount]]</f>
        <v>0</v>
      </c>
      <c r="Q355" s="32">
        <f ca="1">ROUND(Table157[[#This Row],[Cash Flow]]/((1+ActualRateToUse)^(IF(ISNUMBER(SEARCH("Actual",$C$7)),Table157[[#This Row],[Running Total]]/365,Table157[[#This Row],[Period]]/12))),2)</f>
        <v>0</v>
      </c>
      <c r="R355" s="4">
        <f>IF(MONTH(Table157[[#This Row],[Date]])=2,28,DAY(DATE(YEAR(Table157[[#This Row],[Date]]),MONTH(Table157[[#This Row],[Date]])+1,1)-1))</f>
        <v>30</v>
      </c>
      <c r="S355" s="4">
        <f ca="1">SUM(OFFSET(Table157[[#Headers],[Days in month]],1,0):Table157[[#This Row],[Days in month]])</f>
        <v>10312</v>
      </c>
      <c r="T355" s="30">
        <f>InterestRate*AmortizationMultiplier*IF(ISNUMBER(SEARCH("Actual",$C$7)),Table157[[#This Row],[Days in month]]/365,1/12)</f>
        <v>2.8749999999999995E-3</v>
      </c>
    </row>
    <row r="356" spans="2:20" x14ac:dyDescent="0.2">
      <c r="B356" s="41">
        <f t="shared" si="18"/>
        <v>56188</v>
      </c>
      <c r="C356" s="4">
        <f t="shared" si="20"/>
        <v>340</v>
      </c>
      <c r="D356" s="32">
        <f t="shared" si="19"/>
        <v>0</v>
      </c>
      <c r="E356" s="32">
        <f>ROUND(Table157[[#This Row],[Beginning Balance]]*Table157[[#This Row],[Monthly Interest Rate]],2)</f>
        <v>0</v>
      </c>
      <c r="F356" s="32">
        <f t="shared" si="21"/>
        <v>-84</v>
      </c>
      <c r="G356" s="45">
        <f>IFERROR(IF($C$13="No","N/A",IF(Table157[[#This Row],[Period]]=1,$C$6,PMT(InterestRate*AmortizationMultiplier/12,Table157[[#This Row],[Am Thru]],-Table157[[#This Row],[Beginning Balance]]))),0)</f>
        <v>0</v>
      </c>
      <c r="H356" s="32">
        <f>MAX(0,IF(C356=$C$4,D356,ROUND(IF($C$3="Fixed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6" s="32">
        <f>ROUND(Table157[[#This Row],[Defaulted Principal]]*IF($C$9="No",$E$4,VLOOKUP(Table157[[#This Row],[Period]],[1]Forecast!$H$2:$L$1048576,3,FALSE)),2)</f>
        <v>0</v>
      </c>
      <c r="L356" s="4">
        <f>Table157[[#This Row],[Period]]+$E$9</f>
        <v>352</v>
      </c>
      <c r="M356" s="32">
        <f>Table157[[#This Row],[Defaulted Principal]]-Table157[[#This Row],[Estimated Loss]]</f>
        <v>0</v>
      </c>
      <c r="N356" s="32">
        <f>IFERROR(VLOOKUP(Table157[[#This Row],[Period]],$L$16:$M$385,2,FALSE),0)</f>
        <v>0</v>
      </c>
      <c r="O356" s="32">
        <f>Table157[[#This Row],[Beginning Balance]]-Table157[[#This Row],[Principal]]-Table157[[#This Row],[Prepayments]]-Table157[[#This Row],[Defaulted Principal]]</f>
        <v>0</v>
      </c>
      <c r="P356" s="32">
        <f>Table157[[#This Row],[Principal]]+Table157[[#This Row],[Interest]]+Table157[[#This Row],[Prepayments]]+Table157[[#This Row],[RecoveredAmount]]</f>
        <v>0</v>
      </c>
      <c r="Q356" s="32">
        <f ca="1">ROUND(Table157[[#This Row],[Cash Flow]]/((1+ActualRateToUse)^(IF(ISNUMBER(SEARCH("Actual",$C$7)),Table157[[#This Row],[Running Total]]/365,Table157[[#This Row],[Period]]/12))),2)</f>
        <v>0</v>
      </c>
      <c r="R356" s="4">
        <f>IF(MONTH(Table157[[#This Row],[Date]])=2,28,DAY(DATE(YEAR(Table157[[#This Row],[Date]]),MONTH(Table157[[#This Row],[Date]])+1,1)-1))</f>
        <v>31</v>
      </c>
      <c r="S356" s="4">
        <f ca="1">SUM(OFFSET(Table157[[#Headers],[Days in month]],1,0):Table157[[#This Row],[Days in month]])</f>
        <v>10343</v>
      </c>
      <c r="T356" s="30">
        <f>InterestRate*AmortizationMultiplier*IF(ISNUMBER(SEARCH("Actual",$C$7)),Table157[[#This Row],[Days in month]]/365,1/12)</f>
        <v>2.9708333333333331E-3</v>
      </c>
    </row>
    <row r="357" spans="2:20" x14ac:dyDescent="0.2">
      <c r="B357" s="41">
        <f t="shared" si="18"/>
        <v>56218</v>
      </c>
      <c r="C357" s="4">
        <f t="shared" si="20"/>
        <v>341</v>
      </c>
      <c r="D357" s="32">
        <f t="shared" si="19"/>
        <v>0</v>
      </c>
      <c r="E357" s="32">
        <f>ROUND(Table157[[#This Row],[Beginning Balance]]*Table157[[#This Row],[Monthly Interest Rate]],2)</f>
        <v>0</v>
      </c>
      <c r="F357" s="32">
        <f t="shared" si="21"/>
        <v>-85</v>
      </c>
      <c r="G357" s="45">
        <f>IFERROR(IF($C$13="No","N/A",IF(Table157[[#This Row],[Period]]=1,$C$6,PMT(InterestRate*AmortizationMultiplier/12,Table157[[#This Row],[Am Thru]],-Table157[[#This Row],[Beginning Balance]]))),0)</f>
        <v>0</v>
      </c>
      <c r="H357" s="32">
        <f>MAX(0,IF(C357=$C$4,D357,ROUND(IF($C$3="Fixed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7" s="32">
        <f>ROUND(Table157[[#This Row],[Defaulted Principal]]*IF($C$9="No",$E$4,VLOOKUP(Table157[[#This Row],[Period]],[1]Forecast!$H$2:$L$1048576,3,FALSE)),2)</f>
        <v>0</v>
      </c>
      <c r="L357" s="4">
        <f>Table157[[#This Row],[Period]]+$E$9</f>
        <v>353</v>
      </c>
      <c r="M357" s="32">
        <f>Table157[[#This Row],[Defaulted Principal]]-Table157[[#This Row],[Estimated Loss]]</f>
        <v>0</v>
      </c>
      <c r="N357" s="32">
        <f>IFERROR(VLOOKUP(Table157[[#This Row],[Period]],$L$16:$M$385,2,FALSE),0)</f>
        <v>0</v>
      </c>
      <c r="O357" s="32">
        <f>Table157[[#This Row],[Beginning Balance]]-Table157[[#This Row],[Principal]]-Table157[[#This Row],[Prepayments]]-Table157[[#This Row],[Defaulted Principal]]</f>
        <v>0</v>
      </c>
      <c r="P357" s="32">
        <f>Table157[[#This Row],[Principal]]+Table157[[#This Row],[Interest]]+Table157[[#This Row],[Prepayments]]+Table157[[#This Row],[RecoveredAmount]]</f>
        <v>0</v>
      </c>
      <c r="Q357" s="32">
        <f ca="1">ROUND(Table157[[#This Row],[Cash Flow]]/((1+ActualRateToUse)^(IF(ISNUMBER(SEARCH("Actual",$C$7)),Table157[[#This Row],[Running Total]]/365,Table157[[#This Row],[Period]]/12))),2)</f>
        <v>0</v>
      </c>
      <c r="R357" s="4">
        <f>IF(MONTH(Table157[[#This Row],[Date]])=2,28,DAY(DATE(YEAR(Table157[[#This Row],[Date]]),MONTH(Table157[[#This Row],[Date]])+1,1)-1))</f>
        <v>30</v>
      </c>
      <c r="S357" s="4">
        <f ca="1">SUM(OFFSET(Table157[[#Headers],[Days in month]],1,0):Table157[[#This Row],[Days in month]])</f>
        <v>10373</v>
      </c>
      <c r="T357" s="30">
        <f>InterestRate*AmortizationMultiplier*IF(ISNUMBER(SEARCH("Actual",$C$7)),Table157[[#This Row],[Days in month]]/365,1/12)</f>
        <v>2.8749999999999995E-3</v>
      </c>
    </row>
    <row r="358" spans="2:20" x14ac:dyDescent="0.2">
      <c r="B358" s="41">
        <f t="shared" si="18"/>
        <v>56249</v>
      </c>
      <c r="C358" s="4">
        <f t="shared" si="20"/>
        <v>342</v>
      </c>
      <c r="D358" s="32">
        <f t="shared" si="19"/>
        <v>0</v>
      </c>
      <c r="E358" s="32">
        <f>ROUND(Table157[[#This Row],[Beginning Balance]]*Table157[[#This Row],[Monthly Interest Rate]],2)</f>
        <v>0</v>
      </c>
      <c r="F358" s="32">
        <f t="shared" si="21"/>
        <v>-86</v>
      </c>
      <c r="G358" s="45">
        <f>IFERROR(IF($C$13="No","N/A",IF(Table157[[#This Row],[Period]]=1,$C$6,PMT(InterestRate*AmortizationMultiplier/12,Table157[[#This Row],[Am Thru]],-Table157[[#This Row],[Beginning Balance]]))),0)</f>
        <v>0</v>
      </c>
      <c r="H358" s="32">
        <f>MAX(0,IF(C358=$C$4,D358,ROUND(IF($C$3="Fixed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8" s="32">
        <f>ROUND(Table157[[#This Row],[Defaulted Principal]]*IF($C$9="No",$E$4,VLOOKUP(Table157[[#This Row],[Period]],[1]Forecast!$H$2:$L$1048576,3,FALSE)),2)</f>
        <v>0</v>
      </c>
      <c r="L358" s="4">
        <f>Table157[[#This Row],[Period]]+$E$9</f>
        <v>354</v>
      </c>
      <c r="M358" s="32">
        <f>Table157[[#This Row],[Defaulted Principal]]-Table157[[#This Row],[Estimated Loss]]</f>
        <v>0</v>
      </c>
      <c r="N358" s="32">
        <f>IFERROR(VLOOKUP(Table157[[#This Row],[Period]],$L$16:$M$385,2,FALSE),0)</f>
        <v>0</v>
      </c>
      <c r="O358" s="32">
        <f>Table157[[#This Row],[Beginning Balance]]-Table157[[#This Row],[Principal]]-Table157[[#This Row],[Prepayments]]-Table157[[#This Row],[Defaulted Principal]]</f>
        <v>0</v>
      </c>
      <c r="P358" s="32">
        <f>Table157[[#This Row],[Principal]]+Table157[[#This Row],[Interest]]+Table157[[#This Row],[Prepayments]]+Table157[[#This Row],[RecoveredAmount]]</f>
        <v>0</v>
      </c>
      <c r="Q358" s="32">
        <f ca="1">ROUND(Table157[[#This Row],[Cash Flow]]/((1+ActualRateToUse)^(IF(ISNUMBER(SEARCH("Actual",$C$7)),Table157[[#This Row],[Running Total]]/365,Table157[[#This Row],[Period]]/12))),2)</f>
        <v>0</v>
      </c>
      <c r="R358" s="4">
        <f>IF(MONTH(Table157[[#This Row],[Date]])=2,28,DAY(DATE(YEAR(Table157[[#This Row],[Date]]),MONTH(Table157[[#This Row],[Date]])+1,1)-1))</f>
        <v>31</v>
      </c>
      <c r="S358" s="4">
        <f ca="1">SUM(OFFSET(Table157[[#Headers],[Days in month]],1,0):Table157[[#This Row],[Days in month]])</f>
        <v>10404</v>
      </c>
      <c r="T358" s="30">
        <f>InterestRate*AmortizationMultiplier*IF(ISNUMBER(SEARCH("Actual",$C$7)),Table157[[#This Row],[Days in month]]/365,1/12)</f>
        <v>2.9708333333333331E-3</v>
      </c>
    </row>
    <row r="359" spans="2:20" x14ac:dyDescent="0.2">
      <c r="B359" s="41">
        <f t="shared" si="18"/>
        <v>56280</v>
      </c>
      <c r="C359" s="4">
        <f t="shared" si="20"/>
        <v>343</v>
      </c>
      <c r="D359" s="32">
        <f t="shared" si="19"/>
        <v>0</v>
      </c>
      <c r="E359" s="32">
        <f>ROUND(Table157[[#This Row],[Beginning Balance]]*Table157[[#This Row],[Monthly Interest Rate]],2)</f>
        <v>0</v>
      </c>
      <c r="F359" s="32">
        <f t="shared" si="21"/>
        <v>-87</v>
      </c>
      <c r="G359" s="45">
        <f>IFERROR(IF($C$13="No","N/A",IF(Table157[[#This Row],[Period]]=1,$C$6,PMT(InterestRate*AmortizationMultiplier/12,Table157[[#This Row],[Am Thru]],-Table157[[#This Row],[Beginning Balance]]))),0)</f>
        <v>0</v>
      </c>
      <c r="H359" s="32">
        <f>MAX(0,IF(C359=$C$4,D359,ROUND(IF($C$3="Fixed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5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5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59" s="32">
        <f>ROUND(Table157[[#This Row],[Defaulted Principal]]*IF($C$9="No",$E$4,VLOOKUP(Table157[[#This Row],[Period]],[1]Forecast!$H$2:$L$1048576,3,FALSE)),2)</f>
        <v>0</v>
      </c>
      <c r="L359" s="4">
        <f>Table157[[#This Row],[Period]]+$E$9</f>
        <v>355</v>
      </c>
      <c r="M359" s="32">
        <f>Table157[[#This Row],[Defaulted Principal]]-Table157[[#This Row],[Estimated Loss]]</f>
        <v>0</v>
      </c>
      <c r="N359" s="32">
        <f>IFERROR(VLOOKUP(Table157[[#This Row],[Period]],$L$16:$M$385,2,FALSE),0)</f>
        <v>0</v>
      </c>
      <c r="O359" s="32">
        <f>Table157[[#This Row],[Beginning Balance]]-Table157[[#This Row],[Principal]]-Table157[[#This Row],[Prepayments]]-Table157[[#This Row],[Defaulted Principal]]</f>
        <v>0</v>
      </c>
      <c r="P359" s="32">
        <f>Table157[[#This Row],[Principal]]+Table157[[#This Row],[Interest]]+Table157[[#This Row],[Prepayments]]+Table157[[#This Row],[RecoveredAmount]]</f>
        <v>0</v>
      </c>
      <c r="Q359" s="32">
        <f ca="1">ROUND(Table157[[#This Row],[Cash Flow]]/((1+ActualRateToUse)^(IF(ISNUMBER(SEARCH("Actual",$C$7)),Table157[[#This Row],[Running Total]]/365,Table157[[#This Row],[Period]]/12))),2)</f>
        <v>0</v>
      </c>
      <c r="R359" s="4">
        <f>IF(MONTH(Table157[[#This Row],[Date]])=2,28,DAY(DATE(YEAR(Table157[[#This Row],[Date]]),MONTH(Table157[[#This Row],[Date]])+1,1)-1))</f>
        <v>31</v>
      </c>
      <c r="S359" s="4">
        <f ca="1">SUM(OFFSET(Table157[[#Headers],[Days in month]],1,0):Table157[[#This Row],[Days in month]])</f>
        <v>10435</v>
      </c>
      <c r="T359" s="30">
        <f>InterestRate*AmortizationMultiplier*IF(ISNUMBER(SEARCH("Actual",$C$7)),Table157[[#This Row],[Days in month]]/365,1/12)</f>
        <v>2.9708333333333331E-3</v>
      </c>
    </row>
    <row r="360" spans="2:20" x14ac:dyDescent="0.2">
      <c r="B360" s="41">
        <f t="shared" si="18"/>
        <v>56308</v>
      </c>
      <c r="C360" s="4">
        <f t="shared" si="20"/>
        <v>344</v>
      </c>
      <c r="D360" s="32">
        <f t="shared" si="19"/>
        <v>0</v>
      </c>
      <c r="E360" s="32">
        <f>ROUND(Table157[[#This Row],[Beginning Balance]]*Table157[[#This Row],[Monthly Interest Rate]],2)</f>
        <v>0</v>
      </c>
      <c r="F360" s="32">
        <f t="shared" si="21"/>
        <v>-88</v>
      </c>
      <c r="G360" s="45">
        <f>IFERROR(IF($C$13="No","N/A",IF(Table157[[#This Row],[Period]]=1,$C$6,PMT(InterestRate*AmortizationMultiplier/12,Table157[[#This Row],[Am Thru]],-Table157[[#This Row],[Beginning Balance]]))),0)</f>
        <v>0</v>
      </c>
      <c r="H360" s="32">
        <f>MAX(0,IF(C360=$C$4,D360,ROUND(IF($C$3="Fixed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0" s="32">
        <f>ROUND(Table157[[#This Row],[Defaulted Principal]]*IF($C$9="No",$E$4,VLOOKUP(Table157[[#This Row],[Period]],[1]Forecast!$H$2:$L$1048576,3,FALSE)),2)</f>
        <v>0</v>
      </c>
      <c r="L360" s="4">
        <f>Table157[[#This Row],[Period]]+$E$9</f>
        <v>356</v>
      </c>
      <c r="M360" s="32">
        <f>Table157[[#This Row],[Defaulted Principal]]-Table157[[#This Row],[Estimated Loss]]</f>
        <v>0</v>
      </c>
      <c r="N360" s="32">
        <f>IFERROR(VLOOKUP(Table157[[#This Row],[Period]],$L$16:$M$385,2,FALSE),0)</f>
        <v>0</v>
      </c>
      <c r="O360" s="32">
        <f>Table157[[#This Row],[Beginning Balance]]-Table157[[#This Row],[Principal]]-Table157[[#This Row],[Prepayments]]-Table157[[#This Row],[Defaulted Principal]]</f>
        <v>0</v>
      </c>
      <c r="P360" s="32">
        <f>Table157[[#This Row],[Principal]]+Table157[[#This Row],[Interest]]+Table157[[#This Row],[Prepayments]]+Table157[[#This Row],[RecoveredAmount]]</f>
        <v>0</v>
      </c>
      <c r="Q360" s="32">
        <f ca="1">ROUND(Table157[[#This Row],[Cash Flow]]/((1+ActualRateToUse)^(IF(ISNUMBER(SEARCH("Actual",$C$7)),Table157[[#This Row],[Running Total]]/365,Table157[[#This Row],[Period]]/12))),2)</f>
        <v>0</v>
      </c>
      <c r="R360" s="4">
        <f>IF(MONTH(Table157[[#This Row],[Date]])=2,28,DAY(DATE(YEAR(Table157[[#This Row],[Date]]),MONTH(Table157[[#This Row],[Date]])+1,1)-1))</f>
        <v>28</v>
      </c>
      <c r="S360" s="4">
        <f ca="1">SUM(OFFSET(Table157[[#Headers],[Days in month]],1,0):Table157[[#This Row],[Days in month]])</f>
        <v>10463</v>
      </c>
      <c r="T360" s="30">
        <f>InterestRate*AmortizationMultiplier*IF(ISNUMBER(SEARCH("Actual",$C$7)),Table157[[#This Row],[Days in month]]/365,1/12)</f>
        <v>2.6833333333333336E-3</v>
      </c>
    </row>
    <row r="361" spans="2:20" x14ac:dyDescent="0.2">
      <c r="B361" s="41">
        <f t="shared" si="18"/>
        <v>56339</v>
      </c>
      <c r="C361" s="4">
        <f t="shared" si="20"/>
        <v>345</v>
      </c>
      <c r="D361" s="32">
        <f t="shared" si="19"/>
        <v>0</v>
      </c>
      <c r="E361" s="32">
        <f>ROUND(Table157[[#This Row],[Beginning Balance]]*Table157[[#This Row],[Monthly Interest Rate]],2)</f>
        <v>0</v>
      </c>
      <c r="F361" s="32">
        <f t="shared" si="21"/>
        <v>-89</v>
      </c>
      <c r="G361" s="45">
        <f>IFERROR(IF($C$13="No","N/A",IF(Table157[[#This Row],[Period]]=1,$C$6,PMT(InterestRate*AmortizationMultiplier/12,Table157[[#This Row],[Am Thru]],-Table157[[#This Row],[Beginning Balance]]))),0)</f>
        <v>0</v>
      </c>
      <c r="H361" s="32">
        <f>MAX(0,IF(C361=$C$4,D361,ROUND(IF($C$3="Fixed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1" s="32">
        <f>ROUND(Table157[[#This Row],[Defaulted Principal]]*IF($C$9="No",$E$4,VLOOKUP(Table157[[#This Row],[Period]],[1]Forecast!$H$2:$L$1048576,3,FALSE)),2)</f>
        <v>0</v>
      </c>
      <c r="L361" s="4">
        <f>Table157[[#This Row],[Period]]+$E$9</f>
        <v>357</v>
      </c>
      <c r="M361" s="32">
        <f>Table157[[#This Row],[Defaulted Principal]]-Table157[[#This Row],[Estimated Loss]]</f>
        <v>0</v>
      </c>
      <c r="N361" s="32">
        <f>IFERROR(VLOOKUP(Table157[[#This Row],[Period]],$L$16:$M$385,2,FALSE),0)</f>
        <v>0</v>
      </c>
      <c r="O361" s="32">
        <f>Table157[[#This Row],[Beginning Balance]]-Table157[[#This Row],[Principal]]-Table157[[#This Row],[Prepayments]]-Table157[[#This Row],[Defaulted Principal]]</f>
        <v>0</v>
      </c>
      <c r="P361" s="32">
        <f>Table157[[#This Row],[Principal]]+Table157[[#This Row],[Interest]]+Table157[[#This Row],[Prepayments]]+Table157[[#This Row],[RecoveredAmount]]</f>
        <v>0</v>
      </c>
      <c r="Q361" s="32">
        <f ca="1">ROUND(Table157[[#This Row],[Cash Flow]]/((1+ActualRateToUse)^(IF(ISNUMBER(SEARCH("Actual",$C$7)),Table157[[#This Row],[Running Total]]/365,Table157[[#This Row],[Period]]/12))),2)</f>
        <v>0</v>
      </c>
      <c r="R361" s="4">
        <f>IF(MONTH(Table157[[#This Row],[Date]])=2,28,DAY(DATE(YEAR(Table157[[#This Row],[Date]]),MONTH(Table157[[#This Row],[Date]])+1,1)-1))</f>
        <v>31</v>
      </c>
      <c r="S361" s="4">
        <f ca="1">SUM(OFFSET(Table157[[#Headers],[Days in month]],1,0):Table157[[#This Row],[Days in month]])</f>
        <v>10494</v>
      </c>
      <c r="T361" s="30">
        <f>InterestRate*AmortizationMultiplier*IF(ISNUMBER(SEARCH("Actual",$C$7)),Table157[[#This Row],[Days in month]]/365,1/12)</f>
        <v>2.9708333333333331E-3</v>
      </c>
    </row>
    <row r="362" spans="2:20" x14ac:dyDescent="0.2">
      <c r="B362" s="41">
        <f t="shared" si="18"/>
        <v>56369</v>
      </c>
      <c r="C362" s="4">
        <f t="shared" si="20"/>
        <v>346</v>
      </c>
      <c r="D362" s="32">
        <f t="shared" si="19"/>
        <v>0</v>
      </c>
      <c r="E362" s="32">
        <f>ROUND(Table157[[#This Row],[Beginning Balance]]*Table157[[#This Row],[Monthly Interest Rate]],2)</f>
        <v>0</v>
      </c>
      <c r="F362" s="32">
        <f t="shared" si="21"/>
        <v>-90</v>
      </c>
      <c r="G362" s="45">
        <f>IFERROR(IF($C$13="No","N/A",IF(Table157[[#This Row],[Period]]=1,$C$6,PMT(InterestRate*AmortizationMultiplier/12,Table157[[#This Row],[Am Thru]],-Table157[[#This Row],[Beginning Balance]]))),0)</f>
        <v>0</v>
      </c>
      <c r="H362" s="32">
        <f>MAX(0,IF(C362=$C$4,D362,ROUND(IF($C$3="Fixed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2" s="32">
        <f>ROUND(Table157[[#This Row],[Defaulted Principal]]*IF($C$9="No",$E$4,VLOOKUP(Table157[[#This Row],[Period]],[1]Forecast!$H$2:$L$1048576,3,FALSE)),2)</f>
        <v>0</v>
      </c>
      <c r="L362" s="4">
        <f>Table157[[#This Row],[Period]]+$E$9</f>
        <v>358</v>
      </c>
      <c r="M362" s="32">
        <f>Table157[[#This Row],[Defaulted Principal]]-Table157[[#This Row],[Estimated Loss]]</f>
        <v>0</v>
      </c>
      <c r="N362" s="32">
        <f>IFERROR(VLOOKUP(Table157[[#This Row],[Period]],$L$16:$M$385,2,FALSE),0)</f>
        <v>0</v>
      </c>
      <c r="O362" s="32">
        <f>Table157[[#This Row],[Beginning Balance]]-Table157[[#This Row],[Principal]]-Table157[[#This Row],[Prepayments]]-Table157[[#This Row],[Defaulted Principal]]</f>
        <v>0</v>
      </c>
      <c r="P362" s="32">
        <f>Table157[[#This Row],[Principal]]+Table157[[#This Row],[Interest]]+Table157[[#This Row],[Prepayments]]+Table157[[#This Row],[RecoveredAmount]]</f>
        <v>0</v>
      </c>
      <c r="Q362" s="32">
        <f ca="1">ROUND(Table157[[#This Row],[Cash Flow]]/((1+ActualRateToUse)^(IF(ISNUMBER(SEARCH("Actual",$C$7)),Table157[[#This Row],[Running Total]]/365,Table157[[#This Row],[Period]]/12))),2)</f>
        <v>0</v>
      </c>
      <c r="R362" s="4">
        <f>IF(MONTH(Table157[[#This Row],[Date]])=2,28,DAY(DATE(YEAR(Table157[[#This Row],[Date]]),MONTH(Table157[[#This Row],[Date]])+1,1)-1))</f>
        <v>30</v>
      </c>
      <c r="S362" s="4">
        <f ca="1">SUM(OFFSET(Table157[[#Headers],[Days in month]],1,0):Table157[[#This Row],[Days in month]])</f>
        <v>10524</v>
      </c>
      <c r="T362" s="30">
        <f>InterestRate*AmortizationMultiplier*IF(ISNUMBER(SEARCH("Actual",$C$7)),Table157[[#This Row],[Days in month]]/365,1/12)</f>
        <v>2.8749999999999995E-3</v>
      </c>
    </row>
    <row r="363" spans="2:20" x14ac:dyDescent="0.2">
      <c r="B363" s="41">
        <f t="shared" si="18"/>
        <v>56400</v>
      </c>
      <c r="C363" s="4">
        <f t="shared" si="20"/>
        <v>347</v>
      </c>
      <c r="D363" s="32">
        <f t="shared" si="19"/>
        <v>0</v>
      </c>
      <c r="E363" s="32">
        <f>ROUND(Table157[[#This Row],[Beginning Balance]]*Table157[[#This Row],[Monthly Interest Rate]],2)</f>
        <v>0</v>
      </c>
      <c r="F363" s="32">
        <f t="shared" si="21"/>
        <v>-91</v>
      </c>
      <c r="G363" s="45">
        <f>IFERROR(IF($C$13="No","N/A",IF(Table157[[#This Row],[Period]]=1,$C$6,PMT(InterestRate*AmortizationMultiplier/12,Table157[[#This Row],[Am Thru]],-Table157[[#This Row],[Beginning Balance]]))),0)</f>
        <v>0</v>
      </c>
      <c r="H363" s="32">
        <f>MAX(0,IF(C363=$C$4,D363,ROUND(IF($C$3="Fixed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3" s="32">
        <f>ROUND(Table157[[#This Row],[Defaulted Principal]]*IF($C$9="No",$E$4,VLOOKUP(Table157[[#This Row],[Period]],[1]Forecast!$H$2:$L$1048576,3,FALSE)),2)</f>
        <v>0</v>
      </c>
      <c r="L363" s="4">
        <f>Table157[[#This Row],[Period]]+$E$9</f>
        <v>359</v>
      </c>
      <c r="M363" s="32">
        <f>Table157[[#This Row],[Defaulted Principal]]-Table157[[#This Row],[Estimated Loss]]</f>
        <v>0</v>
      </c>
      <c r="N363" s="32">
        <f>IFERROR(VLOOKUP(Table157[[#This Row],[Period]],$L$16:$M$385,2,FALSE),0)</f>
        <v>0</v>
      </c>
      <c r="O363" s="32">
        <f>Table157[[#This Row],[Beginning Balance]]-Table157[[#This Row],[Principal]]-Table157[[#This Row],[Prepayments]]-Table157[[#This Row],[Defaulted Principal]]</f>
        <v>0</v>
      </c>
      <c r="P363" s="32">
        <f>Table157[[#This Row],[Principal]]+Table157[[#This Row],[Interest]]+Table157[[#This Row],[Prepayments]]+Table157[[#This Row],[RecoveredAmount]]</f>
        <v>0</v>
      </c>
      <c r="Q363" s="32">
        <f ca="1">ROUND(Table157[[#This Row],[Cash Flow]]/((1+ActualRateToUse)^(IF(ISNUMBER(SEARCH("Actual",$C$7)),Table157[[#This Row],[Running Total]]/365,Table157[[#This Row],[Period]]/12))),2)</f>
        <v>0</v>
      </c>
      <c r="R363" s="4">
        <f>IF(MONTH(Table157[[#This Row],[Date]])=2,28,DAY(DATE(YEAR(Table157[[#This Row],[Date]]),MONTH(Table157[[#This Row],[Date]])+1,1)-1))</f>
        <v>31</v>
      </c>
      <c r="S363" s="4">
        <f ca="1">SUM(OFFSET(Table157[[#Headers],[Days in month]],1,0):Table157[[#This Row],[Days in month]])</f>
        <v>10555</v>
      </c>
      <c r="T363" s="30">
        <f>InterestRate*AmortizationMultiplier*IF(ISNUMBER(SEARCH("Actual",$C$7)),Table157[[#This Row],[Days in month]]/365,1/12)</f>
        <v>2.9708333333333331E-3</v>
      </c>
    </row>
    <row r="364" spans="2:20" x14ac:dyDescent="0.2">
      <c r="B364" s="41">
        <f t="shared" si="18"/>
        <v>56430</v>
      </c>
      <c r="C364" s="4">
        <f t="shared" si="20"/>
        <v>348</v>
      </c>
      <c r="D364" s="32">
        <f t="shared" si="19"/>
        <v>0</v>
      </c>
      <c r="E364" s="32">
        <f>ROUND(Table157[[#This Row],[Beginning Balance]]*Table157[[#This Row],[Monthly Interest Rate]],2)</f>
        <v>0</v>
      </c>
      <c r="F364" s="32">
        <f t="shared" si="21"/>
        <v>-92</v>
      </c>
      <c r="G364" s="45">
        <f>IFERROR(IF($C$13="No","N/A",IF(Table157[[#This Row],[Period]]=1,$C$6,PMT(InterestRate*AmortizationMultiplier/12,Table157[[#This Row],[Am Thru]],-Table157[[#This Row],[Beginning Balance]]))),0)</f>
        <v>0</v>
      </c>
      <c r="H364" s="32">
        <f>MAX(0,IF(C364=$C$4,D364,ROUND(IF($C$3="Fixed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4" s="32">
        <f>ROUND(Table157[[#This Row],[Defaulted Principal]]*IF($C$9="No",$E$4,VLOOKUP(Table157[[#This Row],[Period]],[1]Forecast!$H$2:$L$1048576,3,FALSE)),2)</f>
        <v>0</v>
      </c>
      <c r="L364" s="4">
        <f>Table157[[#This Row],[Period]]+$E$9</f>
        <v>360</v>
      </c>
      <c r="M364" s="32">
        <f>Table157[[#This Row],[Defaulted Principal]]-Table157[[#This Row],[Estimated Loss]]</f>
        <v>0</v>
      </c>
      <c r="N364" s="32">
        <f>IFERROR(VLOOKUP(Table157[[#This Row],[Period]],$L$16:$M$385,2,FALSE),0)</f>
        <v>0</v>
      </c>
      <c r="O364" s="32">
        <f>Table157[[#This Row],[Beginning Balance]]-Table157[[#This Row],[Principal]]-Table157[[#This Row],[Prepayments]]-Table157[[#This Row],[Defaulted Principal]]</f>
        <v>0</v>
      </c>
      <c r="P364" s="32">
        <f>Table157[[#This Row],[Principal]]+Table157[[#This Row],[Interest]]+Table157[[#This Row],[Prepayments]]+Table157[[#This Row],[RecoveredAmount]]</f>
        <v>0</v>
      </c>
      <c r="Q364" s="32">
        <f ca="1">ROUND(Table157[[#This Row],[Cash Flow]]/((1+ActualRateToUse)^(IF(ISNUMBER(SEARCH("Actual",$C$7)),Table157[[#This Row],[Running Total]]/365,Table157[[#This Row],[Period]]/12))),2)</f>
        <v>0</v>
      </c>
      <c r="R364" s="4">
        <f>IF(MONTH(Table157[[#This Row],[Date]])=2,28,DAY(DATE(YEAR(Table157[[#This Row],[Date]]),MONTH(Table157[[#This Row],[Date]])+1,1)-1))</f>
        <v>30</v>
      </c>
      <c r="S364" s="4">
        <f ca="1">SUM(OFFSET(Table157[[#Headers],[Days in month]],1,0):Table157[[#This Row],[Days in month]])</f>
        <v>10585</v>
      </c>
      <c r="T364" s="30">
        <f>InterestRate*AmortizationMultiplier*IF(ISNUMBER(SEARCH("Actual",$C$7)),Table157[[#This Row],[Days in month]]/365,1/12)</f>
        <v>2.8749999999999995E-3</v>
      </c>
    </row>
    <row r="365" spans="2:20" x14ac:dyDescent="0.2">
      <c r="B365" s="41">
        <f t="shared" si="18"/>
        <v>56461</v>
      </c>
      <c r="C365" s="4">
        <f t="shared" si="20"/>
        <v>349</v>
      </c>
      <c r="D365" s="32">
        <f t="shared" si="19"/>
        <v>0</v>
      </c>
      <c r="E365" s="32">
        <f>ROUND(Table157[[#This Row],[Beginning Balance]]*Table157[[#This Row],[Monthly Interest Rate]],2)</f>
        <v>0</v>
      </c>
      <c r="F365" s="32">
        <f t="shared" si="21"/>
        <v>-93</v>
      </c>
      <c r="G365" s="45">
        <f>IFERROR(IF($C$13="No","N/A",IF(Table157[[#This Row],[Period]]=1,$C$6,PMT(InterestRate*AmortizationMultiplier/12,Table157[[#This Row],[Am Thru]],-Table157[[#This Row],[Beginning Balance]]))),0)</f>
        <v>0</v>
      </c>
      <c r="H365" s="32">
        <f>MAX(0,IF(C365=$C$4,D365,ROUND(IF($C$3="Fixed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5" s="32">
        <f>ROUND(Table157[[#This Row],[Defaulted Principal]]*IF($C$9="No",$E$4,VLOOKUP(Table157[[#This Row],[Period]],[1]Forecast!$H$2:$L$1048576,3,FALSE)),2)</f>
        <v>0</v>
      </c>
      <c r="L365" s="4">
        <f>Table157[[#This Row],[Period]]+$E$9</f>
        <v>361</v>
      </c>
      <c r="M365" s="32">
        <f>Table157[[#This Row],[Defaulted Principal]]-Table157[[#This Row],[Estimated Loss]]</f>
        <v>0</v>
      </c>
      <c r="N365" s="32">
        <f>IFERROR(VLOOKUP(Table157[[#This Row],[Period]],$L$16:$M$385,2,FALSE),0)</f>
        <v>0</v>
      </c>
      <c r="O365" s="32">
        <f>Table157[[#This Row],[Beginning Balance]]-Table157[[#This Row],[Principal]]-Table157[[#This Row],[Prepayments]]-Table157[[#This Row],[Defaulted Principal]]</f>
        <v>0</v>
      </c>
      <c r="P365" s="32">
        <f>Table157[[#This Row],[Principal]]+Table157[[#This Row],[Interest]]+Table157[[#This Row],[Prepayments]]+Table157[[#This Row],[RecoveredAmount]]</f>
        <v>0</v>
      </c>
      <c r="Q365" s="32">
        <f ca="1">ROUND(Table157[[#This Row],[Cash Flow]]/((1+ActualRateToUse)^(IF(ISNUMBER(SEARCH("Actual",$C$7)),Table157[[#This Row],[Running Total]]/365,Table157[[#This Row],[Period]]/12))),2)</f>
        <v>0</v>
      </c>
      <c r="R365" s="4">
        <f>IF(MONTH(Table157[[#This Row],[Date]])=2,28,DAY(DATE(YEAR(Table157[[#This Row],[Date]]),MONTH(Table157[[#This Row],[Date]])+1,1)-1))</f>
        <v>31</v>
      </c>
      <c r="S365" s="4">
        <f ca="1">SUM(OFFSET(Table157[[#Headers],[Days in month]],1,0):Table157[[#This Row],[Days in month]])</f>
        <v>10616</v>
      </c>
      <c r="T365" s="30">
        <f>InterestRate*AmortizationMultiplier*IF(ISNUMBER(SEARCH("Actual",$C$7)),Table157[[#This Row],[Days in month]]/365,1/12)</f>
        <v>2.9708333333333331E-3</v>
      </c>
    </row>
    <row r="366" spans="2:20" x14ac:dyDescent="0.2">
      <c r="B366" s="41">
        <f t="shared" si="18"/>
        <v>56492</v>
      </c>
      <c r="C366" s="4">
        <f t="shared" si="20"/>
        <v>350</v>
      </c>
      <c r="D366" s="32">
        <f t="shared" si="19"/>
        <v>0</v>
      </c>
      <c r="E366" s="32">
        <f>ROUND(Table157[[#This Row],[Beginning Balance]]*Table157[[#This Row],[Monthly Interest Rate]],2)</f>
        <v>0</v>
      </c>
      <c r="F366" s="32">
        <f t="shared" si="21"/>
        <v>-94</v>
      </c>
      <c r="G366" s="45">
        <f>IFERROR(IF($C$13="No","N/A",IF(Table157[[#This Row],[Period]]=1,$C$6,PMT(InterestRate*AmortizationMultiplier/12,Table157[[#This Row],[Am Thru]],-Table157[[#This Row],[Beginning Balance]]))),0)</f>
        <v>0</v>
      </c>
      <c r="H366" s="32">
        <f>MAX(0,IF(C366=$C$4,D366,ROUND(IF($C$3="Fixed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6" s="32">
        <f>ROUND(Table157[[#This Row],[Defaulted Principal]]*IF($C$9="No",$E$4,VLOOKUP(Table157[[#This Row],[Period]],[1]Forecast!$H$2:$L$1048576,3,FALSE)),2)</f>
        <v>0</v>
      </c>
      <c r="L366" s="4">
        <f>Table157[[#This Row],[Period]]+$E$9</f>
        <v>362</v>
      </c>
      <c r="M366" s="32">
        <f>Table157[[#This Row],[Defaulted Principal]]-Table157[[#This Row],[Estimated Loss]]</f>
        <v>0</v>
      </c>
      <c r="N366" s="32">
        <f>IFERROR(VLOOKUP(Table157[[#This Row],[Period]],$L$16:$M$385,2,FALSE),0)</f>
        <v>0</v>
      </c>
      <c r="O366" s="32">
        <f>Table157[[#This Row],[Beginning Balance]]-Table157[[#This Row],[Principal]]-Table157[[#This Row],[Prepayments]]-Table157[[#This Row],[Defaulted Principal]]</f>
        <v>0</v>
      </c>
      <c r="P366" s="32">
        <f>Table157[[#This Row],[Principal]]+Table157[[#This Row],[Interest]]+Table157[[#This Row],[Prepayments]]+Table157[[#This Row],[RecoveredAmount]]</f>
        <v>0</v>
      </c>
      <c r="Q366" s="32">
        <f ca="1">ROUND(Table157[[#This Row],[Cash Flow]]/((1+ActualRateToUse)^(IF(ISNUMBER(SEARCH("Actual",$C$7)),Table157[[#This Row],[Running Total]]/365,Table157[[#This Row],[Period]]/12))),2)</f>
        <v>0</v>
      </c>
      <c r="R366" s="4">
        <f>IF(MONTH(Table157[[#This Row],[Date]])=2,28,DAY(DATE(YEAR(Table157[[#This Row],[Date]]),MONTH(Table157[[#This Row],[Date]])+1,1)-1))</f>
        <v>31</v>
      </c>
      <c r="S366" s="4">
        <f ca="1">SUM(OFFSET(Table157[[#Headers],[Days in month]],1,0):Table157[[#This Row],[Days in month]])</f>
        <v>10647</v>
      </c>
      <c r="T366" s="30">
        <f>InterestRate*AmortizationMultiplier*IF(ISNUMBER(SEARCH("Actual",$C$7)),Table157[[#This Row],[Days in month]]/365,1/12)</f>
        <v>2.9708333333333331E-3</v>
      </c>
    </row>
    <row r="367" spans="2:20" x14ac:dyDescent="0.2">
      <c r="B367" s="41">
        <f t="shared" si="18"/>
        <v>56522</v>
      </c>
      <c r="C367" s="4">
        <f t="shared" si="20"/>
        <v>351</v>
      </c>
      <c r="D367" s="32">
        <f t="shared" si="19"/>
        <v>0</v>
      </c>
      <c r="E367" s="32">
        <f>ROUND(Table157[[#This Row],[Beginning Balance]]*Table157[[#This Row],[Monthly Interest Rate]],2)</f>
        <v>0</v>
      </c>
      <c r="F367" s="32">
        <f t="shared" si="21"/>
        <v>-95</v>
      </c>
      <c r="G367" s="45">
        <f>IFERROR(IF($C$13="No","N/A",IF(Table157[[#This Row],[Period]]=1,$C$6,PMT(InterestRate*AmortizationMultiplier/12,Table157[[#This Row],[Am Thru]],-Table157[[#This Row],[Beginning Balance]]))),0)</f>
        <v>0</v>
      </c>
      <c r="H367" s="32">
        <f>MAX(0,IF(C367=$C$4,D367,ROUND(IF($C$3="Fixed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7" s="32">
        <f>ROUND(Table157[[#This Row],[Defaulted Principal]]*IF($C$9="No",$E$4,VLOOKUP(Table157[[#This Row],[Period]],[1]Forecast!$H$2:$L$1048576,3,FALSE)),2)</f>
        <v>0</v>
      </c>
      <c r="L367" s="4">
        <f>Table157[[#This Row],[Period]]+$E$9</f>
        <v>363</v>
      </c>
      <c r="M367" s="32">
        <f>Table157[[#This Row],[Defaulted Principal]]-Table157[[#This Row],[Estimated Loss]]</f>
        <v>0</v>
      </c>
      <c r="N367" s="32">
        <f>IFERROR(VLOOKUP(Table157[[#This Row],[Period]],$L$16:$M$385,2,FALSE),0)</f>
        <v>0</v>
      </c>
      <c r="O367" s="32">
        <f>Table157[[#This Row],[Beginning Balance]]-Table157[[#This Row],[Principal]]-Table157[[#This Row],[Prepayments]]-Table157[[#This Row],[Defaulted Principal]]</f>
        <v>0</v>
      </c>
      <c r="P367" s="32">
        <f>Table157[[#This Row],[Principal]]+Table157[[#This Row],[Interest]]+Table157[[#This Row],[Prepayments]]+Table157[[#This Row],[RecoveredAmount]]</f>
        <v>0</v>
      </c>
      <c r="Q367" s="32">
        <f ca="1">ROUND(Table157[[#This Row],[Cash Flow]]/((1+ActualRateToUse)^(IF(ISNUMBER(SEARCH("Actual",$C$7)),Table157[[#This Row],[Running Total]]/365,Table157[[#This Row],[Period]]/12))),2)</f>
        <v>0</v>
      </c>
      <c r="R367" s="4">
        <f>IF(MONTH(Table157[[#This Row],[Date]])=2,28,DAY(DATE(YEAR(Table157[[#This Row],[Date]]),MONTH(Table157[[#This Row],[Date]])+1,1)-1))</f>
        <v>30</v>
      </c>
      <c r="S367" s="4">
        <f ca="1">SUM(OFFSET(Table157[[#Headers],[Days in month]],1,0):Table157[[#This Row],[Days in month]])</f>
        <v>10677</v>
      </c>
      <c r="T367" s="30">
        <f>InterestRate*AmortizationMultiplier*IF(ISNUMBER(SEARCH("Actual",$C$7)),Table157[[#This Row],[Days in month]]/365,1/12)</f>
        <v>2.8749999999999995E-3</v>
      </c>
    </row>
    <row r="368" spans="2:20" x14ac:dyDescent="0.2">
      <c r="B368" s="41">
        <f t="shared" si="18"/>
        <v>56553</v>
      </c>
      <c r="C368" s="4">
        <f t="shared" si="20"/>
        <v>352</v>
      </c>
      <c r="D368" s="32">
        <f>O367</f>
        <v>0</v>
      </c>
      <c r="E368" s="32">
        <f>ROUND(Table157[[#This Row],[Beginning Balance]]*Table157[[#This Row],[Monthly Interest Rate]],2)</f>
        <v>0</v>
      </c>
      <c r="F368" s="32">
        <f>+F367-1</f>
        <v>-96</v>
      </c>
      <c r="G368" s="45">
        <f>IFERROR(IF($C$13="No","N/A",IF(Table157[[#This Row],[Period]]=1,$C$6,PMT(InterestRate*AmortizationMultiplier/12,Table157[[#This Row],[Am Thru]],-Table157[[#This Row],[Beginning Balance]]))),0)</f>
        <v>0</v>
      </c>
      <c r="H368" s="32">
        <f>MAX(0,IF(C368=$C$4,D368,ROUND(IF($C$3="Fixed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8" s="32">
        <f>ROUND(Table157[[#This Row],[Defaulted Principal]]*IF($C$9="No",$E$4,VLOOKUP(Table157[[#This Row],[Period]],[1]Forecast!$H$2:$L$1048576,3,FALSE)),2)</f>
        <v>0</v>
      </c>
      <c r="L368" s="4">
        <f>Table157[[#This Row],[Period]]+$E$9</f>
        <v>364</v>
      </c>
      <c r="M368" s="32">
        <f>Table157[[#This Row],[Defaulted Principal]]-Table157[[#This Row],[Estimated Loss]]</f>
        <v>0</v>
      </c>
      <c r="N368" s="32">
        <f>IFERROR(VLOOKUP(Table157[[#This Row],[Period]],$L$16:$M$385,2,FALSE),0)</f>
        <v>0</v>
      </c>
      <c r="O368" s="32">
        <f>Table157[[#This Row],[Beginning Balance]]-Table157[[#This Row],[Principal]]-Table157[[#This Row],[Prepayments]]-Table157[[#This Row],[Defaulted Principal]]</f>
        <v>0</v>
      </c>
      <c r="P368" s="32">
        <f>Table157[[#This Row],[Principal]]+Table157[[#This Row],[Interest]]+Table157[[#This Row],[Prepayments]]+Table157[[#This Row],[RecoveredAmount]]</f>
        <v>0</v>
      </c>
      <c r="Q368" s="32">
        <f ca="1">ROUND(Table157[[#This Row],[Cash Flow]]/((1+ActualRateToUse)^(IF(ISNUMBER(SEARCH("Actual",$C$7)),Table157[[#This Row],[Running Total]]/365,Table157[[#This Row],[Period]]/12))),2)</f>
        <v>0</v>
      </c>
      <c r="R368" s="4">
        <f>IF(MONTH(Table157[[#This Row],[Date]])=2,28,DAY(DATE(YEAR(Table157[[#This Row],[Date]]),MONTH(Table157[[#This Row],[Date]])+1,1)-1))</f>
        <v>31</v>
      </c>
      <c r="S368" s="4">
        <f ca="1">SUM(OFFSET(Table157[[#Headers],[Days in month]],1,0):Table157[[#This Row],[Days in month]])</f>
        <v>10708</v>
      </c>
      <c r="T368" s="30">
        <f>InterestRate*AmortizationMultiplier*IF(ISNUMBER(SEARCH("Actual",$C$7)),Table157[[#This Row],[Days in month]]/365,1/12)</f>
        <v>2.9708333333333331E-3</v>
      </c>
    </row>
    <row r="369" spans="2:20" x14ac:dyDescent="0.2">
      <c r="B369" s="41">
        <f t="shared" si="18"/>
        <v>56583</v>
      </c>
      <c r="C369" s="4">
        <f t="shared" si="20"/>
        <v>353</v>
      </c>
      <c r="D369" s="32">
        <f t="shared" si="19"/>
        <v>0</v>
      </c>
      <c r="E369" s="32">
        <f>ROUND(Table157[[#This Row],[Beginning Balance]]*Table157[[#This Row],[Monthly Interest Rate]],2)</f>
        <v>0</v>
      </c>
      <c r="F369" s="32">
        <f t="shared" si="21"/>
        <v>-97</v>
      </c>
      <c r="G369" s="45">
        <f>IFERROR(IF($C$13="No","N/A",IF(Table157[[#This Row],[Period]]=1,$C$6,PMT(InterestRate*AmortizationMultiplier/12,Table157[[#This Row],[Am Thru]],-Table157[[#This Row],[Beginning Balance]]))),0)</f>
        <v>0</v>
      </c>
      <c r="H369" s="32">
        <f>MAX(0,IF(C369=$C$4,D369,ROUND(IF($C$3="Fixed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6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6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69" s="32">
        <f>ROUND(Table157[[#This Row],[Defaulted Principal]]*IF($C$9="No",$E$4,VLOOKUP(Table157[[#This Row],[Period]],[1]Forecast!$H$2:$L$1048576,3,FALSE)),2)</f>
        <v>0</v>
      </c>
      <c r="L369" s="4">
        <f>Table157[[#This Row],[Period]]+$E$9</f>
        <v>365</v>
      </c>
      <c r="M369" s="32">
        <f>Table157[[#This Row],[Defaulted Principal]]-Table157[[#This Row],[Estimated Loss]]</f>
        <v>0</v>
      </c>
      <c r="N369" s="32">
        <f>IFERROR(VLOOKUP(Table157[[#This Row],[Period]],$L$16:$M$385,2,FALSE),0)</f>
        <v>0</v>
      </c>
      <c r="O369" s="32">
        <f>Table157[[#This Row],[Beginning Balance]]-Table157[[#This Row],[Principal]]-Table157[[#This Row],[Prepayments]]-Table157[[#This Row],[Defaulted Principal]]</f>
        <v>0</v>
      </c>
      <c r="P369" s="32">
        <f>Table157[[#This Row],[Principal]]+Table157[[#This Row],[Interest]]+Table157[[#This Row],[Prepayments]]+Table157[[#This Row],[RecoveredAmount]]</f>
        <v>0</v>
      </c>
      <c r="Q369" s="32">
        <f ca="1">ROUND(Table157[[#This Row],[Cash Flow]]/((1+ActualRateToUse)^(IF(ISNUMBER(SEARCH("Actual",$C$7)),Table157[[#This Row],[Running Total]]/365,Table157[[#This Row],[Period]]/12))),2)</f>
        <v>0</v>
      </c>
      <c r="R369" s="4">
        <f>IF(MONTH(Table157[[#This Row],[Date]])=2,28,DAY(DATE(YEAR(Table157[[#This Row],[Date]]),MONTH(Table157[[#This Row],[Date]])+1,1)-1))</f>
        <v>30</v>
      </c>
      <c r="S369" s="4">
        <f ca="1">SUM(OFFSET(Table157[[#Headers],[Days in month]],1,0):Table157[[#This Row],[Days in month]])</f>
        <v>10738</v>
      </c>
      <c r="T369" s="30">
        <f>InterestRate*AmortizationMultiplier*IF(ISNUMBER(SEARCH("Actual",$C$7)),Table157[[#This Row],[Days in month]]/365,1/12)</f>
        <v>2.8749999999999995E-3</v>
      </c>
    </row>
    <row r="370" spans="2:20" x14ac:dyDescent="0.2">
      <c r="B370" s="41">
        <f t="shared" si="18"/>
        <v>56614</v>
      </c>
      <c r="C370" s="4">
        <f t="shared" si="20"/>
        <v>354</v>
      </c>
      <c r="D370" s="32">
        <f t="shared" si="19"/>
        <v>0</v>
      </c>
      <c r="E370" s="32">
        <f>ROUND(Table157[[#This Row],[Beginning Balance]]*Table157[[#This Row],[Monthly Interest Rate]],2)</f>
        <v>0</v>
      </c>
      <c r="F370" s="32">
        <f t="shared" si="21"/>
        <v>-98</v>
      </c>
      <c r="G370" s="45">
        <f>IFERROR(IF($C$13="No","N/A",IF(Table157[[#This Row],[Period]]=1,$C$6,PMT(InterestRate*AmortizationMultiplier/12,Table157[[#This Row],[Am Thru]],-Table157[[#This Row],[Beginning Balance]]))),0)</f>
        <v>0</v>
      </c>
      <c r="H370" s="32">
        <f>MAX(0,IF(C370=$C$4,D370,ROUND(IF($C$3="Fixed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0" s="32">
        <f>ROUND(Table157[[#This Row],[Defaulted Principal]]*IF($C$9="No",$E$4,VLOOKUP(Table157[[#This Row],[Period]],[1]Forecast!$H$2:$L$1048576,3,FALSE)),2)</f>
        <v>0</v>
      </c>
      <c r="L370" s="4">
        <f>Table157[[#This Row],[Period]]+$E$9</f>
        <v>366</v>
      </c>
      <c r="M370" s="32">
        <f>Table157[[#This Row],[Defaulted Principal]]-Table157[[#This Row],[Estimated Loss]]</f>
        <v>0</v>
      </c>
      <c r="N370" s="32">
        <f>IFERROR(VLOOKUP(Table157[[#This Row],[Period]],$L$16:$M$385,2,FALSE),0)</f>
        <v>0</v>
      </c>
      <c r="O370" s="32">
        <f>Table157[[#This Row],[Beginning Balance]]-Table157[[#This Row],[Principal]]-Table157[[#This Row],[Prepayments]]-Table157[[#This Row],[Defaulted Principal]]</f>
        <v>0</v>
      </c>
      <c r="P370" s="32">
        <f>Table157[[#This Row],[Principal]]+Table157[[#This Row],[Interest]]+Table157[[#This Row],[Prepayments]]+Table157[[#This Row],[RecoveredAmount]]</f>
        <v>0</v>
      </c>
      <c r="Q370" s="32">
        <f ca="1">ROUND(Table157[[#This Row],[Cash Flow]]/((1+ActualRateToUse)^(IF(ISNUMBER(SEARCH("Actual",$C$7)),Table157[[#This Row],[Running Total]]/365,Table157[[#This Row],[Period]]/12))),2)</f>
        <v>0</v>
      </c>
      <c r="R370" s="4">
        <f>IF(MONTH(Table157[[#This Row],[Date]])=2,28,DAY(DATE(YEAR(Table157[[#This Row],[Date]]),MONTH(Table157[[#This Row],[Date]])+1,1)-1))</f>
        <v>31</v>
      </c>
      <c r="S370" s="4">
        <f ca="1">SUM(OFFSET(Table157[[#Headers],[Days in month]],1,0):Table157[[#This Row],[Days in month]])</f>
        <v>10769</v>
      </c>
      <c r="T370" s="30">
        <f>InterestRate*AmortizationMultiplier*IF(ISNUMBER(SEARCH("Actual",$C$7)),Table157[[#This Row],[Days in month]]/365,1/12)</f>
        <v>2.9708333333333331E-3</v>
      </c>
    </row>
    <row r="371" spans="2:20" x14ac:dyDescent="0.2">
      <c r="B371" s="41">
        <f t="shared" si="18"/>
        <v>56645</v>
      </c>
      <c r="C371" s="4">
        <f t="shared" si="20"/>
        <v>355</v>
      </c>
      <c r="D371" s="32">
        <f t="shared" si="19"/>
        <v>0</v>
      </c>
      <c r="E371" s="32">
        <f>ROUND(Table157[[#This Row],[Beginning Balance]]*Table157[[#This Row],[Monthly Interest Rate]],2)</f>
        <v>0</v>
      </c>
      <c r="F371" s="32">
        <f t="shared" si="21"/>
        <v>-99</v>
      </c>
      <c r="G371" s="45">
        <f>IFERROR(IF($C$13="No","N/A",IF(Table157[[#This Row],[Period]]=1,$C$6,PMT(InterestRate*AmortizationMultiplier/12,Table157[[#This Row],[Am Thru]],-Table157[[#This Row],[Beginning Balance]]))),0)</f>
        <v>0</v>
      </c>
      <c r="H371" s="32">
        <f>MAX(0,IF(C371=$C$4,D371,ROUND(IF($C$3="Fixed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1" s="32">
        <f>ROUND(Table157[[#This Row],[Defaulted Principal]]*IF($C$9="No",$E$4,VLOOKUP(Table157[[#This Row],[Period]],[1]Forecast!$H$2:$L$1048576,3,FALSE)),2)</f>
        <v>0</v>
      </c>
      <c r="L371" s="4">
        <f>Table157[[#This Row],[Period]]+$E$9</f>
        <v>367</v>
      </c>
      <c r="M371" s="32">
        <f>Table157[[#This Row],[Defaulted Principal]]-Table157[[#This Row],[Estimated Loss]]</f>
        <v>0</v>
      </c>
      <c r="N371" s="32">
        <f>IFERROR(VLOOKUP(Table157[[#This Row],[Period]],$L$16:$M$385,2,FALSE),0)</f>
        <v>0</v>
      </c>
      <c r="O371" s="32">
        <f>Table157[[#This Row],[Beginning Balance]]-Table157[[#This Row],[Principal]]-Table157[[#This Row],[Prepayments]]-Table157[[#This Row],[Defaulted Principal]]</f>
        <v>0</v>
      </c>
      <c r="P371" s="32">
        <f>Table157[[#This Row],[Principal]]+Table157[[#This Row],[Interest]]+Table157[[#This Row],[Prepayments]]+Table157[[#This Row],[RecoveredAmount]]</f>
        <v>0</v>
      </c>
      <c r="Q371" s="32">
        <f ca="1">ROUND(Table157[[#This Row],[Cash Flow]]/((1+ActualRateToUse)^(IF(ISNUMBER(SEARCH("Actual",$C$7)),Table157[[#This Row],[Running Total]]/365,Table157[[#This Row],[Period]]/12))),2)</f>
        <v>0</v>
      </c>
      <c r="R371" s="4">
        <f>IF(MONTH(Table157[[#This Row],[Date]])=2,28,DAY(DATE(YEAR(Table157[[#This Row],[Date]]),MONTH(Table157[[#This Row],[Date]])+1,1)-1))</f>
        <v>31</v>
      </c>
      <c r="S371" s="4">
        <f ca="1">SUM(OFFSET(Table157[[#Headers],[Days in month]],1,0):Table157[[#This Row],[Days in month]])</f>
        <v>10800</v>
      </c>
      <c r="T371" s="30">
        <f>InterestRate*AmortizationMultiplier*IF(ISNUMBER(SEARCH("Actual",$C$7)),Table157[[#This Row],[Days in month]]/365,1/12)</f>
        <v>2.9708333333333331E-3</v>
      </c>
    </row>
    <row r="372" spans="2:20" x14ac:dyDescent="0.2">
      <c r="B372" s="41">
        <f t="shared" si="18"/>
        <v>56673</v>
      </c>
      <c r="C372" s="4">
        <f t="shared" si="20"/>
        <v>356</v>
      </c>
      <c r="D372" s="32">
        <f t="shared" si="19"/>
        <v>0</v>
      </c>
      <c r="E372" s="32">
        <f>ROUND(Table157[[#This Row],[Beginning Balance]]*Table157[[#This Row],[Monthly Interest Rate]],2)</f>
        <v>0</v>
      </c>
      <c r="F372" s="32">
        <f t="shared" si="21"/>
        <v>-100</v>
      </c>
      <c r="G372" s="45">
        <f>IFERROR(IF($C$13="No","N/A",IF(Table157[[#This Row],[Period]]=1,$C$6,PMT(InterestRate*AmortizationMultiplier/12,Table157[[#This Row],[Am Thru]],-Table157[[#This Row],[Beginning Balance]]))),0)</f>
        <v>0</v>
      </c>
      <c r="H372" s="32">
        <f>MAX(0,IF(C372=$C$4,D372,ROUND(IF($C$3="Fixed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2" s="32">
        <f>ROUND(Table157[[#This Row],[Defaulted Principal]]*IF($C$9="No",$E$4,VLOOKUP(Table157[[#This Row],[Period]],[1]Forecast!$H$2:$L$1048576,3,FALSE)),2)</f>
        <v>0</v>
      </c>
      <c r="L372" s="4">
        <f>Table157[[#This Row],[Period]]+$E$9</f>
        <v>368</v>
      </c>
      <c r="M372" s="32">
        <f>Table157[[#This Row],[Defaulted Principal]]-Table157[[#This Row],[Estimated Loss]]</f>
        <v>0</v>
      </c>
      <c r="N372" s="32">
        <f>IFERROR(VLOOKUP(Table157[[#This Row],[Period]],$L$16:$M$385,2,FALSE),0)</f>
        <v>0</v>
      </c>
      <c r="O372" s="32">
        <f>Table157[[#This Row],[Beginning Balance]]-Table157[[#This Row],[Principal]]-Table157[[#This Row],[Prepayments]]-Table157[[#This Row],[Defaulted Principal]]</f>
        <v>0</v>
      </c>
      <c r="P372" s="32">
        <f>Table157[[#This Row],[Principal]]+Table157[[#This Row],[Interest]]+Table157[[#This Row],[Prepayments]]+Table157[[#This Row],[RecoveredAmount]]</f>
        <v>0</v>
      </c>
      <c r="Q372" s="32">
        <f ca="1">ROUND(Table157[[#This Row],[Cash Flow]]/((1+ActualRateToUse)^(IF(ISNUMBER(SEARCH("Actual",$C$7)),Table157[[#This Row],[Running Total]]/365,Table157[[#This Row],[Period]]/12))),2)</f>
        <v>0</v>
      </c>
      <c r="R372" s="4">
        <f>IF(MONTH(Table157[[#This Row],[Date]])=2,28,DAY(DATE(YEAR(Table157[[#This Row],[Date]]),MONTH(Table157[[#This Row],[Date]])+1,1)-1))</f>
        <v>28</v>
      </c>
      <c r="S372" s="4">
        <f ca="1">SUM(OFFSET(Table157[[#Headers],[Days in month]],1,0):Table157[[#This Row],[Days in month]])</f>
        <v>10828</v>
      </c>
      <c r="T372" s="30">
        <f>InterestRate*AmortizationMultiplier*IF(ISNUMBER(SEARCH("Actual",$C$7)),Table157[[#This Row],[Days in month]]/365,1/12)</f>
        <v>2.6833333333333336E-3</v>
      </c>
    </row>
    <row r="373" spans="2:20" x14ac:dyDescent="0.2">
      <c r="B373" s="41">
        <f t="shared" si="18"/>
        <v>56704</v>
      </c>
      <c r="C373" s="4">
        <f t="shared" si="20"/>
        <v>357</v>
      </c>
      <c r="D373" s="32">
        <f t="shared" si="19"/>
        <v>0</v>
      </c>
      <c r="E373" s="32">
        <f>ROUND(Table157[[#This Row],[Beginning Balance]]*Table157[[#This Row],[Monthly Interest Rate]],2)</f>
        <v>0</v>
      </c>
      <c r="F373" s="32">
        <f t="shared" si="21"/>
        <v>-101</v>
      </c>
      <c r="G373" s="45">
        <f>IFERROR(IF($C$13="No","N/A",IF(Table157[[#This Row],[Period]]=1,$C$6,PMT(InterestRate*AmortizationMultiplier/12,Table157[[#This Row],[Am Thru]],-Table157[[#This Row],[Beginning Balance]]))),0)</f>
        <v>0</v>
      </c>
      <c r="H373" s="32">
        <f>MAX(0,IF(C373=$C$4,D373,ROUND(IF($C$3="Fixed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3" s="32">
        <f>ROUND(Table157[[#This Row],[Defaulted Principal]]*IF($C$9="No",$E$4,VLOOKUP(Table157[[#This Row],[Period]],[1]Forecast!$H$2:$L$1048576,3,FALSE)),2)</f>
        <v>0</v>
      </c>
      <c r="L373" s="4">
        <f>Table157[[#This Row],[Period]]+$E$9</f>
        <v>369</v>
      </c>
      <c r="M373" s="32">
        <f>Table157[[#This Row],[Defaulted Principal]]-Table157[[#This Row],[Estimated Loss]]</f>
        <v>0</v>
      </c>
      <c r="N373" s="32">
        <f>IFERROR(VLOOKUP(Table157[[#This Row],[Period]],$L$16:$M$385,2,FALSE),0)</f>
        <v>0</v>
      </c>
      <c r="O373" s="32">
        <f>Table157[[#This Row],[Beginning Balance]]-Table157[[#This Row],[Principal]]-Table157[[#This Row],[Prepayments]]-Table157[[#This Row],[Defaulted Principal]]</f>
        <v>0</v>
      </c>
      <c r="P373" s="32">
        <f>Table157[[#This Row],[Principal]]+Table157[[#This Row],[Interest]]+Table157[[#This Row],[Prepayments]]+Table157[[#This Row],[RecoveredAmount]]</f>
        <v>0</v>
      </c>
      <c r="Q373" s="32">
        <f ca="1">ROUND(Table157[[#This Row],[Cash Flow]]/((1+ActualRateToUse)^(IF(ISNUMBER(SEARCH("Actual",$C$7)),Table157[[#This Row],[Running Total]]/365,Table157[[#This Row],[Period]]/12))),2)</f>
        <v>0</v>
      </c>
      <c r="R373" s="4">
        <f>IF(MONTH(Table157[[#This Row],[Date]])=2,28,DAY(DATE(YEAR(Table157[[#This Row],[Date]]),MONTH(Table157[[#This Row],[Date]])+1,1)-1))</f>
        <v>31</v>
      </c>
      <c r="S373" s="4">
        <f ca="1">SUM(OFFSET(Table157[[#Headers],[Days in month]],1,0):Table157[[#This Row],[Days in month]])</f>
        <v>10859</v>
      </c>
      <c r="T373" s="30">
        <f>InterestRate*AmortizationMultiplier*IF(ISNUMBER(SEARCH("Actual",$C$7)),Table157[[#This Row],[Days in month]]/365,1/12)</f>
        <v>2.9708333333333331E-3</v>
      </c>
    </row>
    <row r="374" spans="2:20" x14ac:dyDescent="0.2">
      <c r="B374" s="41">
        <f t="shared" si="18"/>
        <v>56734</v>
      </c>
      <c r="C374" s="4">
        <f t="shared" si="20"/>
        <v>358</v>
      </c>
      <c r="D374" s="32">
        <f t="shared" si="19"/>
        <v>0</v>
      </c>
      <c r="E374" s="32">
        <f>ROUND(Table157[[#This Row],[Beginning Balance]]*Table157[[#This Row],[Monthly Interest Rate]],2)</f>
        <v>0</v>
      </c>
      <c r="F374" s="32">
        <f t="shared" si="21"/>
        <v>-102</v>
      </c>
      <c r="G374" s="45">
        <f>IFERROR(IF($C$13="No","N/A",IF(Table157[[#This Row],[Period]]=1,$C$6,PMT(InterestRate*AmortizationMultiplier/12,Table157[[#This Row],[Am Thru]],-Table157[[#This Row],[Beginning Balance]]))),0)</f>
        <v>0</v>
      </c>
      <c r="H374" s="32">
        <f>MAX(0,IF(C374=$C$4,D374,ROUND(IF($C$3="Fixed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4" s="32">
        <f>ROUND(Table157[[#This Row],[Defaulted Principal]]*IF($C$9="No",$E$4,VLOOKUP(Table157[[#This Row],[Period]],[1]Forecast!$H$2:$L$1048576,3,FALSE)),2)</f>
        <v>0</v>
      </c>
      <c r="L374" s="4">
        <f>Table157[[#This Row],[Period]]+$E$9</f>
        <v>370</v>
      </c>
      <c r="M374" s="32">
        <f>Table157[[#This Row],[Defaulted Principal]]-Table157[[#This Row],[Estimated Loss]]</f>
        <v>0</v>
      </c>
      <c r="N374" s="32">
        <f>IFERROR(VLOOKUP(Table157[[#This Row],[Period]],$L$16:$M$385,2,FALSE),0)</f>
        <v>0</v>
      </c>
      <c r="O374" s="32">
        <f>Table157[[#This Row],[Beginning Balance]]-Table157[[#This Row],[Principal]]-Table157[[#This Row],[Prepayments]]-Table157[[#This Row],[Defaulted Principal]]</f>
        <v>0</v>
      </c>
      <c r="P374" s="32">
        <f>Table157[[#This Row],[Principal]]+Table157[[#This Row],[Interest]]+Table157[[#This Row],[Prepayments]]+Table157[[#This Row],[RecoveredAmount]]</f>
        <v>0</v>
      </c>
      <c r="Q374" s="32">
        <f ca="1">ROUND(Table157[[#This Row],[Cash Flow]]/((1+ActualRateToUse)^(IF(ISNUMBER(SEARCH("Actual",$C$7)),Table157[[#This Row],[Running Total]]/365,Table157[[#This Row],[Period]]/12))),2)</f>
        <v>0</v>
      </c>
      <c r="R374" s="4">
        <f>IF(MONTH(Table157[[#This Row],[Date]])=2,28,DAY(DATE(YEAR(Table157[[#This Row],[Date]]),MONTH(Table157[[#This Row],[Date]])+1,1)-1))</f>
        <v>30</v>
      </c>
      <c r="S374" s="4">
        <f ca="1">SUM(OFFSET(Table157[[#Headers],[Days in month]],1,0):Table157[[#This Row],[Days in month]])</f>
        <v>10889</v>
      </c>
      <c r="T374" s="30">
        <f>InterestRate*AmortizationMultiplier*IF(ISNUMBER(SEARCH("Actual",$C$7)),Table157[[#This Row],[Days in month]]/365,1/12)</f>
        <v>2.8749999999999995E-3</v>
      </c>
    </row>
    <row r="375" spans="2:20" x14ac:dyDescent="0.2">
      <c r="B375" s="41">
        <f t="shared" si="18"/>
        <v>56765</v>
      </c>
      <c r="C375" s="4">
        <f t="shared" si="20"/>
        <v>359</v>
      </c>
      <c r="D375" s="32">
        <f t="shared" si="19"/>
        <v>0</v>
      </c>
      <c r="E375" s="32">
        <f>ROUND(Table157[[#This Row],[Beginning Balance]]*Table157[[#This Row],[Monthly Interest Rate]],2)</f>
        <v>0</v>
      </c>
      <c r="F375" s="32">
        <f t="shared" si="21"/>
        <v>-103</v>
      </c>
      <c r="G375" s="45">
        <f>IFERROR(IF($C$13="No","N/A",IF(Table157[[#This Row],[Period]]=1,$C$6,PMT(InterestRate*AmortizationMultiplier/12,Table157[[#This Row],[Am Thru]],-Table157[[#This Row],[Beginning Balance]]))),0)</f>
        <v>0</v>
      </c>
      <c r="H375" s="32">
        <f>MAX(0,IF(C375=$C$4,D375,ROUND(IF($C$3="Fixed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5" s="32">
        <f>ROUND(Table157[[#This Row],[Defaulted Principal]]*IF($C$9="No",$E$4,VLOOKUP(Table157[[#This Row],[Period]],[1]Forecast!$H$2:$L$1048576,3,FALSE)),2)</f>
        <v>0</v>
      </c>
      <c r="L375" s="4">
        <f>Table157[[#This Row],[Period]]+$E$9</f>
        <v>371</v>
      </c>
      <c r="M375" s="32">
        <f>Table157[[#This Row],[Defaulted Principal]]-Table157[[#This Row],[Estimated Loss]]</f>
        <v>0</v>
      </c>
      <c r="N375" s="32">
        <f>IFERROR(VLOOKUP(Table157[[#This Row],[Period]],$L$16:$M$385,2,FALSE),0)</f>
        <v>0</v>
      </c>
      <c r="O375" s="32">
        <f>Table157[[#This Row],[Beginning Balance]]-Table157[[#This Row],[Principal]]-Table157[[#This Row],[Prepayments]]-Table157[[#This Row],[Defaulted Principal]]</f>
        <v>0</v>
      </c>
      <c r="P375" s="32">
        <f>Table157[[#This Row],[Principal]]+Table157[[#This Row],[Interest]]+Table157[[#This Row],[Prepayments]]+Table157[[#This Row],[RecoveredAmount]]</f>
        <v>0</v>
      </c>
      <c r="Q375" s="32">
        <f ca="1">ROUND(Table157[[#This Row],[Cash Flow]]/((1+ActualRateToUse)^(IF(ISNUMBER(SEARCH("Actual",$C$7)),Table157[[#This Row],[Running Total]]/365,Table157[[#This Row],[Period]]/12))),2)</f>
        <v>0</v>
      </c>
      <c r="R375" s="4">
        <f>IF(MONTH(Table157[[#This Row],[Date]])=2,28,DAY(DATE(YEAR(Table157[[#This Row],[Date]]),MONTH(Table157[[#This Row],[Date]])+1,1)-1))</f>
        <v>31</v>
      </c>
      <c r="S375" s="4">
        <f ca="1">SUM(OFFSET(Table157[[#Headers],[Days in month]],1,0):Table157[[#This Row],[Days in month]])</f>
        <v>10920</v>
      </c>
      <c r="T375" s="30">
        <f>InterestRate*AmortizationMultiplier*IF(ISNUMBER(SEARCH("Actual",$C$7)),Table157[[#This Row],[Days in month]]/365,1/12)</f>
        <v>2.9708333333333331E-3</v>
      </c>
    </row>
    <row r="376" spans="2:20" x14ac:dyDescent="0.2">
      <c r="B376" s="41">
        <f t="shared" si="18"/>
        <v>56795</v>
      </c>
      <c r="C376" s="4">
        <f t="shared" si="20"/>
        <v>360</v>
      </c>
      <c r="D376" s="32">
        <f t="shared" si="19"/>
        <v>0</v>
      </c>
      <c r="E376" s="32">
        <f>ROUND(Table157[[#This Row],[Beginning Balance]]*Table157[[#This Row],[Monthly Interest Rate]],2)</f>
        <v>0</v>
      </c>
      <c r="F376" s="32">
        <f t="shared" si="21"/>
        <v>-104</v>
      </c>
      <c r="G376" s="45">
        <f>IFERROR(IF($C$13="No","N/A",IF(Table157[[#This Row],[Period]]=1,$C$6,PMT(InterestRate*AmortizationMultiplier/12,Table157[[#This Row],[Am Thru]],-Table157[[#This Row],[Beginning Balance]]))),0)</f>
        <v>0</v>
      </c>
      <c r="H376" s="32">
        <f>MAX(0,IF(C376=$C$4,D376,ROUND(IF($C$3="Fixed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6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6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6" s="32">
        <f>ROUND(Table157[[#This Row],[Defaulted Principal]]*IF($C$9="No",$E$4,VLOOKUP(Table157[[#This Row],[Period]],[1]Forecast!$H$2:$L$1048576,3,FALSE)),2)</f>
        <v>0</v>
      </c>
      <c r="L376" s="4">
        <f>Table157[[#This Row],[Period]]+$E$9</f>
        <v>372</v>
      </c>
      <c r="M376" s="32">
        <f>Table157[[#This Row],[Defaulted Principal]]-Table157[[#This Row],[Estimated Loss]]</f>
        <v>0</v>
      </c>
      <c r="N376" s="32">
        <f>IFERROR(VLOOKUP(Table157[[#This Row],[Period]],$L$16:$M$385,2,FALSE),0)</f>
        <v>0</v>
      </c>
      <c r="O376" s="32">
        <f>Table157[[#This Row],[Beginning Balance]]-Table157[[#This Row],[Principal]]-Table157[[#This Row],[Prepayments]]-Table157[[#This Row],[Defaulted Principal]]</f>
        <v>0</v>
      </c>
      <c r="P376" s="32">
        <f>Table157[[#This Row],[Principal]]+Table157[[#This Row],[Interest]]+Table157[[#This Row],[Prepayments]]+Table157[[#This Row],[RecoveredAmount]]</f>
        <v>0</v>
      </c>
      <c r="Q376" s="32">
        <f ca="1">ROUND(Table157[[#This Row],[Cash Flow]]/((1+ActualRateToUse)^(IF(ISNUMBER(SEARCH("Actual",$C$7)),Table157[[#This Row],[Running Total]]/365,Table157[[#This Row],[Period]]/12))),2)</f>
        <v>0</v>
      </c>
      <c r="R376" s="4">
        <f>IF(MONTH(Table157[[#This Row],[Date]])=2,28,DAY(DATE(YEAR(Table157[[#This Row],[Date]]),MONTH(Table157[[#This Row],[Date]])+1,1)-1))</f>
        <v>30</v>
      </c>
      <c r="S376" s="4">
        <f ca="1">SUM(OFFSET(Table157[[#Headers],[Days in month]],1,0):Table157[[#This Row],[Days in month]])</f>
        <v>10950</v>
      </c>
      <c r="T376" s="30">
        <f>InterestRate*AmortizationMultiplier*IF(ISNUMBER(SEARCH("Actual",$C$7)),Table157[[#This Row],[Days in month]]/365,1/12)</f>
        <v>2.8749999999999995E-3</v>
      </c>
    </row>
    <row r="377" spans="2:20" x14ac:dyDescent="0.2">
      <c r="B377" s="41">
        <f t="shared" si="18"/>
        <v>56826</v>
      </c>
      <c r="C377" s="4">
        <f t="shared" si="20"/>
        <v>361</v>
      </c>
      <c r="D377" s="32">
        <f t="shared" si="19"/>
        <v>0</v>
      </c>
      <c r="E377" s="32">
        <f>ROUND(Table157[[#This Row],[Beginning Balance]]*Table157[[#This Row],[Monthly Interest Rate]],2)</f>
        <v>0</v>
      </c>
      <c r="F377" s="32">
        <f t="shared" si="21"/>
        <v>-105</v>
      </c>
      <c r="G377" s="45">
        <f>IFERROR(IF($C$13="No","N/A",IF(Table157[[#This Row],[Period]]=1,$C$6,PMT(InterestRate*AmortizationMultiplier/12,Table157[[#This Row],[Am Thru]],-Table157[[#This Row],[Beginning Balance]]))),0)</f>
        <v>0</v>
      </c>
      <c r="H377" s="32">
        <f>MAX(0,IF(C377=$C$4,D377,ROUND(IF($C$3="Fixed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7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7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7" s="32">
        <f>ROUND(Table157[[#This Row],[Defaulted Principal]]*IF($C$9="No",$E$4,VLOOKUP(Table157[[#This Row],[Period]],[1]Forecast!$H$2:$L$1048576,3,FALSE)),2)</f>
        <v>0</v>
      </c>
      <c r="L377" s="4">
        <f>Table157[[#This Row],[Period]]+$E$9</f>
        <v>373</v>
      </c>
      <c r="M377" s="32">
        <f>Table157[[#This Row],[Defaulted Principal]]-Table157[[#This Row],[Estimated Loss]]</f>
        <v>0</v>
      </c>
      <c r="N377" s="32">
        <f>IFERROR(VLOOKUP(Table157[[#This Row],[Period]],$L$16:$M$385,2,FALSE),0)</f>
        <v>0</v>
      </c>
      <c r="O377" s="32">
        <f>Table157[[#This Row],[Beginning Balance]]-Table157[[#This Row],[Principal]]-Table157[[#This Row],[Prepayments]]-Table157[[#This Row],[Defaulted Principal]]</f>
        <v>0</v>
      </c>
      <c r="P377" s="32">
        <f>Table157[[#This Row],[Principal]]+Table157[[#This Row],[Interest]]+Table157[[#This Row],[Prepayments]]+Table157[[#This Row],[RecoveredAmount]]</f>
        <v>0</v>
      </c>
      <c r="Q377" s="32">
        <f ca="1">ROUND(Table157[[#This Row],[Cash Flow]]/((1+ActualRateToUse)^(IF(ISNUMBER(SEARCH("Actual",$C$7)),Table157[[#This Row],[Running Total]]/365,Table157[[#This Row],[Period]]/12))),2)</f>
        <v>0</v>
      </c>
      <c r="R377" s="4">
        <f>IF(MONTH(Table157[[#This Row],[Date]])=2,28,DAY(DATE(YEAR(Table157[[#This Row],[Date]]),MONTH(Table157[[#This Row],[Date]])+1,1)-1))</f>
        <v>31</v>
      </c>
      <c r="S377" s="4">
        <f ca="1">SUM(OFFSET(Table157[[#Headers],[Days in month]],1,0):Table157[[#This Row],[Days in month]])</f>
        <v>10981</v>
      </c>
      <c r="T377" s="30">
        <f>InterestRate*AmortizationMultiplier*IF(ISNUMBER(SEARCH("Actual",$C$7)),Table157[[#This Row],[Days in month]]/365,1/12)</f>
        <v>2.9708333333333331E-3</v>
      </c>
    </row>
    <row r="378" spans="2:20" x14ac:dyDescent="0.2">
      <c r="B378" s="41">
        <f t="shared" si="18"/>
        <v>56857</v>
      </c>
      <c r="C378" s="4">
        <f t="shared" si="20"/>
        <v>362</v>
      </c>
      <c r="D378" s="32">
        <f t="shared" si="19"/>
        <v>0</v>
      </c>
      <c r="E378" s="32">
        <f>ROUND(Table157[[#This Row],[Beginning Balance]]*Table157[[#This Row],[Monthly Interest Rate]],2)</f>
        <v>0</v>
      </c>
      <c r="F378" s="32">
        <f t="shared" si="21"/>
        <v>-106</v>
      </c>
      <c r="G378" s="45">
        <f>IFERROR(IF($C$13="No","N/A",IF(Table157[[#This Row],[Period]]=1,$C$6,PMT(InterestRate*AmortizationMultiplier/12,Table157[[#This Row],[Am Thru]],-Table157[[#This Row],[Beginning Balance]]))),0)</f>
        <v>0</v>
      </c>
      <c r="H378" s="32">
        <f>MAX(0,IF(C378=$C$4,D378,ROUND(IF($C$3="Fixed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8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8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8" s="32">
        <f>ROUND(Table157[[#This Row],[Defaulted Principal]]*IF($C$9="No",$E$4,VLOOKUP(Table157[[#This Row],[Period]],[1]Forecast!$H$2:$L$1048576,3,FALSE)),2)</f>
        <v>0</v>
      </c>
      <c r="L378" s="4">
        <f>Table157[[#This Row],[Period]]+$E$9</f>
        <v>374</v>
      </c>
      <c r="M378" s="32">
        <f>Table157[[#This Row],[Defaulted Principal]]-Table157[[#This Row],[Estimated Loss]]</f>
        <v>0</v>
      </c>
      <c r="N378" s="32">
        <f>IFERROR(VLOOKUP(Table157[[#This Row],[Period]],$L$16:$M$385,2,FALSE),0)</f>
        <v>0</v>
      </c>
      <c r="O378" s="32">
        <f>Table157[[#This Row],[Beginning Balance]]-Table157[[#This Row],[Principal]]-Table157[[#This Row],[Prepayments]]-Table157[[#This Row],[Defaulted Principal]]</f>
        <v>0</v>
      </c>
      <c r="P378" s="32">
        <f>Table157[[#This Row],[Principal]]+Table157[[#This Row],[Interest]]+Table157[[#This Row],[Prepayments]]+Table157[[#This Row],[RecoveredAmount]]</f>
        <v>0</v>
      </c>
      <c r="Q378" s="32">
        <f ca="1">ROUND(Table157[[#This Row],[Cash Flow]]/((1+ActualRateToUse)^(IF(ISNUMBER(SEARCH("Actual",$C$7)),Table157[[#This Row],[Running Total]]/365,Table157[[#This Row],[Period]]/12))),2)</f>
        <v>0</v>
      </c>
      <c r="R378" s="4">
        <f>IF(MONTH(Table157[[#This Row],[Date]])=2,28,DAY(DATE(YEAR(Table157[[#This Row],[Date]]),MONTH(Table157[[#This Row],[Date]])+1,1)-1))</f>
        <v>31</v>
      </c>
      <c r="S378" s="4">
        <f ca="1">SUM(OFFSET(Table157[[#Headers],[Days in month]],1,0):Table157[[#This Row],[Days in month]])</f>
        <v>11012</v>
      </c>
      <c r="T378" s="30">
        <f>InterestRate*AmortizationMultiplier*IF(ISNUMBER(SEARCH("Actual",$C$7)),Table157[[#This Row],[Days in month]]/365,1/12)</f>
        <v>2.9708333333333331E-3</v>
      </c>
    </row>
    <row r="379" spans="2:20" x14ac:dyDescent="0.2">
      <c r="B379" s="41">
        <f t="shared" si="18"/>
        <v>56887</v>
      </c>
      <c r="C379" s="4">
        <f t="shared" si="20"/>
        <v>363</v>
      </c>
      <c r="D379" s="32">
        <f t="shared" si="19"/>
        <v>0</v>
      </c>
      <c r="E379" s="32">
        <f>ROUND(Table157[[#This Row],[Beginning Balance]]*Table157[[#This Row],[Monthly Interest Rate]],2)</f>
        <v>0</v>
      </c>
      <c r="F379" s="32">
        <f t="shared" si="21"/>
        <v>-107</v>
      </c>
      <c r="G379" s="45">
        <f>IFERROR(IF($C$13="No","N/A",IF(Table157[[#This Row],[Period]]=1,$C$6,PMT(InterestRate*AmortizationMultiplier/12,Table157[[#This Row],[Am Thru]],-Table157[[#This Row],[Beginning Balance]]))),0)</f>
        <v>0</v>
      </c>
      <c r="H379" s="32">
        <f>MAX(0,IF(C379=$C$4,D379,ROUND(IF($C$3="Fixed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79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79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79" s="32">
        <f>ROUND(Table157[[#This Row],[Defaulted Principal]]*IF($C$9="No",$E$4,VLOOKUP(Table157[[#This Row],[Period]],[1]Forecast!$H$2:$L$1048576,3,FALSE)),2)</f>
        <v>0</v>
      </c>
      <c r="L379" s="4">
        <f>Table157[[#This Row],[Period]]+$E$9</f>
        <v>375</v>
      </c>
      <c r="M379" s="32">
        <f>Table157[[#This Row],[Defaulted Principal]]-Table157[[#This Row],[Estimated Loss]]</f>
        <v>0</v>
      </c>
      <c r="N379" s="32">
        <f>IFERROR(VLOOKUP(Table157[[#This Row],[Period]],$L$16:$M$385,2,FALSE),0)</f>
        <v>0</v>
      </c>
      <c r="O379" s="32">
        <f>Table157[[#This Row],[Beginning Balance]]-Table157[[#This Row],[Principal]]-Table157[[#This Row],[Prepayments]]-Table157[[#This Row],[Defaulted Principal]]</f>
        <v>0</v>
      </c>
      <c r="P379" s="32">
        <f>Table157[[#This Row],[Principal]]+Table157[[#This Row],[Interest]]+Table157[[#This Row],[Prepayments]]+Table157[[#This Row],[RecoveredAmount]]</f>
        <v>0</v>
      </c>
      <c r="Q379" s="32">
        <f ca="1">ROUND(Table157[[#This Row],[Cash Flow]]/((1+ActualRateToUse)^(IF(ISNUMBER(SEARCH("Actual",$C$7)),Table157[[#This Row],[Running Total]]/365,Table157[[#This Row],[Period]]/12))),2)</f>
        <v>0</v>
      </c>
      <c r="R379" s="4">
        <f>IF(MONTH(Table157[[#This Row],[Date]])=2,28,DAY(DATE(YEAR(Table157[[#This Row],[Date]]),MONTH(Table157[[#This Row],[Date]])+1,1)-1))</f>
        <v>30</v>
      </c>
      <c r="S379" s="4">
        <f ca="1">SUM(OFFSET(Table157[[#Headers],[Days in month]],1,0):Table157[[#This Row],[Days in month]])</f>
        <v>11042</v>
      </c>
      <c r="T379" s="30">
        <f>InterestRate*AmortizationMultiplier*IF(ISNUMBER(SEARCH("Actual",$C$7)),Table157[[#This Row],[Days in month]]/365,1/12)</f>
        <v>2.8749999999999995E-3</v>
      </c>
    </row>
    <row r="380" spans="2:20" x14ac:dyDescent="0.2">
      <c r="B380" s="41">
        <f t="shared" si="18"/>
        <v>56918</v>
      </c>
      <c r="C380" s="4">
        <f t="shared" si="20"/>
        <v>364</v>
      </c>
      <c r="D380" s="32">
        <f t="shared" si="19"/>
        <v>0</v>
      </c>
      <c r="E380" s="32">
        <f>ROUND(Table157[[#This Row],[Beginning Balance]]*Table157[[#This Row],[Monthly Interest Rate]],2)</f>
        <v>0</v>
      </c>
      <c r="F380" s="32">
        <f t="shared" si="21"/>
        <v>-108</v>
      </c>
      <c r="G380" s="45">
        <f>IFERROR(IF($C$13="No","N/A",IF(Table157[[#This Row],[Period]]=1,$C$6,PMT(InterestRate*AmortizationMultiplier/12,Table157[[#This Row],[Am Thru]],-Table157[[#This Row],[Beginning Balance]]))),0)</f>
        <v>0</v>
      </c>
      <c r="H380" s="32">
        <f>MAX(0,IF(C380=$C$4,D380,ROUND(IF($C$3="Fixed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0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0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0" s="32">
        <f>ROUND(Table157[[#This Row],[Defaulted Principal]]*IF($C$9="No",$E$4,VLOOKUP(Table157[[#This Row],[Period]],[1]Forecast!$H$2:$L$1048576,3,FALSE)),2)</f>
        <v>0</v>
      </c>
      <c r="L380" s="4">
        <f>Table157[[#This Row],[Period]]+$E$9</f>
        <v>376</v>
      </c>
      <c r="M380" s="32">
        <f>Table157[[#This Row],[Defaulted Principal]]-Table157[[#This Row],[Estimated Loss]]</f>
        <v>0</v>
      </c>
      <c r="N380" s="32">
        <f>IFERROR(VLOOKUP(Table157[[#This Row],[Period]],$L$16:$M$385,2,FALSE),0)</f>
        <v>0</v>
      </c>
      <c r="O380" s="32">
        <f>Table157[[#This Row],[Beginning Balance]]-Table157[[#This Row],[Principal]]-Table157[[#This Row],[Prepayments]]-Table157[[#This Row],[Defaulted Principal]]</f>
        <v>0</v>
      </c>
      <c r="P380" s="32">
        <f>Table157[[#This Row],[Principal]]+Table157[[#This Row],[Interest]]+Table157[[#This Row],[Prepayments]]+Table157[[#This Row],[RecoveredAmount]]</f>
        <v>0</v>
      </c>
      <c r="Q380" s="32">
        <f ca="1">ROUND(Table157[[#This Row],[Cash Flow]]/((1+ActualRateToUse)^(IF(ISNUMBER(SEARCH("Actual",$C$7)),Table157[[#This Row],[Running Total]]/365,Table157[[#This Row],[Period]]/12))),2)</f>
        <v>0</v>
      </c>
      <c r="R380" s="4">
        <f>IF(MONTH(Table157[[#This Row],[Date]])=2,28,DAY(DATE(YEAR(Table157[[#This Row],[Date]]),MONTH(Table157[[#This Row],[Date]])+1,1)-1))</f>
        <v>31</v>
      </c>
      <c r="S380" s="4">
        <f ca="1">SUM(OFFSET(Table157[[#Headers],[Days in month]],1,0):Table157[[#This Row],[Days in month]])</f>
        <v>11073</v>
      </c>
      <c r="T380" s="30">
        <f>InterestRate*AmortizationMultiplier*IF(ISNUMBER(SEARCH("Actual",$C$7)),Table157[[#This Row],[Days in month]]/365,1/12)</f>
        <v>2.9708333333333331E-3</v>
      </c>
    </row>
    <row r="381" spans="2:20" x14ac:dyDescent="0.2">
      <c r="B381" s="41">
        <f t="shared" si="18"/>
        <v>56948</v>
      </c>
      <c r="C381" s="4">
        <f t="shared" si="20"/>
        <v>365</v>
      </c>
      <c r="D381" s="32">
        <f t="shared" si="19"/>
        <v>0</v>
      </c>
      <c r="E381" s="32">
        <f>ROUND(Table157[[#This Row],[Beginning Balance]]*Table157[[#This Row],[Monthly Interest Rate]],2)</f>
        <v>0</v>
      </c>
      <c r="F381" s="32">
        <f t="shared" si="21"/>
        <v>-109</v>
      </c>
      <c r="G381" s="45">
        <f>IFERROR(IF($C$13="No","N/A",IF(Table157[[#This Row],[Period]]=1,$C$6,PMT(InterestRate*AmortizationMultiplier/12,Table157[[#This Row],[Am Thru]],-Table157[[#This Row],[Beginning Balance]]))),0)</f>
        <v>0</v>
      </c>
      <c r="H381" s="32">
        <f>MAX(0,IF(C381=$C$4,D381,ROUND(IF($C$3="Fixed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1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1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1" s="32">
        <f>ROUND(Table157[[#This Row],[Defaulted Principal]]*IF($C$9="No",$E$4,VLOOKUP(Table157[[#This Row],[Period]],[1]Forecast!$H$2:$L$1048576,3,FALSE)),2)</f>
        <v>0</v>
      </c>
      <c r="L381" s="4">
        <f>Table157[[#This Row],[Period]]+$E$9</f>
        <v>377</v>
      </c>
      <c r="M381" s="32">
        <f>Table157[[#This Row],[Defaulted Principal]]-Table157[[#This Row],[Estimated Loss]]</f>
        <v>0</v>
      </c>
      <c r="N381" s="32">
        <f>IFERROR(VLOOKUP(Table157[[#This Row],[Period]],$L$16:$M$385,2,FALSE),0)</f>
        <v>0</v>
      </c>
      <c r="O381" s="32">
        <f>Table157[[#This Row],[Beginning Balance]]-Table157[[#This Row],[Principal]]-Table157[[#This Row],[Prepayments]]-Table157[[#This Row],[Defaulted Principal]]</f>
        <v>0</v>
      </c>
      <c r="P381" s="32">
        <f>Table157[[#This Row],[Principal]]+Table157[[#This Row],[Interest]]+Table157[[#This Row],[Prepayments]]+Table157[[#This Row],[RecoveredAmount]]</f>
        <v>0</v>
      </c>
      <c r="Q381" s="32">
        <f ca="1">ROUND(Table157[[#This Row],[Cash Flow]]/((1+ActualRateToUse)^(IF(ISNUMBER(SEARCH("Actual",$C$7)),Table157[[#This Row],[Running Total]]/365,Table157[[#This Row],[Period]]/12))),2)</f>
        <v>0</v>
      </c>
      <c r="R381" s="4">
        <f>IF(MONTH(Table157[[#This Row],[Date]])=2,28,DAY(DATE(YEAR(Table157[[#This Row],[Date]]),MONTH(Table157[[#This Row],[Date]])+1,1)-1))</f>
        <v>30</v>
      </c>
      <c r="S381" s="4">
        <f ca="1">SUM(OFFSET(Table157[[#Headers],[Days in month]],1,0):Table157[[#This Row],[Days in month]])</f>
        <v>11103</v>
      </c>
      <c r="T381" s="30">
        <f>InterestRate*AmortizationMultiplier*IF(ISNUMBER(SEARCH("Actual",$C$7)),Table157[[#This Row],[Days in month]]/365,1/12)</f>
        <v>2.8749999999999995E-3</v>
      </c>
    </row>
    <row r="382" spans="2:20" x14ac:dyDescent="0.2">
      <c r="B382" s="41">
        <f t="shared" si="18"/>
        <v>56979</v>
      </c>
      <c r="C382" s="4">
        <f t="shared" si="20"/>
        <v>366</v>
      </c>
      <c r="D382" s="32">
        <f t="shared" si="19"/>
        <v>0</v>
      </c>
      <c r="E382" s="32">
        <f>ROUND(Table157[[#This Row],[Beginning Balance]]*Table157[[#This Row],[Monthly Interest Rate]],2)</f>
        <v>0</v>
      </c>
      <c r="F382" s="32">
        <f t="shared" si="21"/>
        <v>-110</v>
      </c>
      <c r="G382" s="45">
        <f>IFERROR(IF($C$13="No","N/A",IF(Table157[[#This Row],[Period]]=1,$C$6,PMT(InterestRate*AmortizationMultiplier/12,Table157[[#This Row],[Am Thru]],-Table157[[#This Row],[Beginning Balance]]))),0)</f>
        <v>0</v>
      </c>
      <c r="H382" s="32">
        <f>MAX(0,IF(C382=$C$4,D382,ROUND(IF($C$3="Fixed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2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2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2" s="32">
        <f>ROUND(Table157[[#This Row],[Defaulted Principal]]*IF($C$9="No",$E$4,VLOOKUP(Table157[[#This Row],[Period]],[1]Forecast!$H$2:$L$1048576,3,FALSE)),2)</f>
        <v>0</v>
      </c>
      <c r="L382" s="4">
        <f>Table157[[#This Row],[Period]]+$E$9</f>
        <v>378</v>
      </c>
      <c r="M382" s="32">
        <f>Table157[[#This Row],[Defaulted Principal]]-Table157[[#This Row],[Estimated Loss]]</f>
        <v>0</v>
      </c>
      <c r="N382" s="32">
        <f>IFERROR(VLOOKUP(Table157[[#This Row],[Period]],$L$16:$M$385,2,FALSE),0)</f>
        <v>0</v>
      </c>
      <c r="O382" s="32">
        <f>Table157[[#This Row],[Beginning Balance]]-Table157[[#This Row],[Principal]]-Table157[[#This Row],[Prepayments]]-Table157[[#This Row],[Defaulted Principal]]</f>
        <v>0</v>
      </c>
      <c r="P382" s="32">
        <f>Table157[[#This Row],[Principal]]+Table157[[#This Row],[Interest]]+Table157[[#This Row],[Prepayments]]+Table157[[#This Row],[RecoveredAmount]]</f>
        <v>0</v>
      </c>
      <c r="Q382" s="32">
        <f ca="1">ROUND(Table157[[#This Row],[Cash Flow]]/((1+ActualRateToUse)^(IF(ISNUMBER(SEARCH("Actual",$C$7)),Table157[[#This Row],[Running Total]]/365,Table157[[#This Row],[Period]]/12))),2)</f>
        <v>0</v>
      </c>
      <c r="R382" s="4">
        <f>IF(MONTH(Table157[[#This Row],[Date]])=2,28,DAY(DATE(YEAR(Table157[[#This Row],[Date]]),MONTH(Table157[[#This Row],[Date]])+1,1)-1))</f>
        <v>31</v>
      </c>
      <c r="S382" s="4">
        <f ca="1">SUM(OFFSET(Table157[[#Headers],[Days in month]],1,0):Table157[[#This Row],[Days in month]])</f>
        <v>11134</v>
      </c>
      <c r="T382" s="30">
        <f>InterestRate*AmortizationMultiplier*IF(ISNUMBER(SEARCH("Actual",$C$7)),Table157[[#This Row],[Days in month]]/365,1/12)</f>
        <v>2.9708333333333331E-3</v>
      </c>
    </row>
    <row r="383" spans="2:20" x14ac:dyDescent="0.2">
      <c r="B383" s="41">
        <f t="shared" si="18"/>
        <v>57010</v>
      </c>
      <c r="C383" s="4">
        <f t="shared" si="20"/>
        <v>367</v>
      </c>
      <c r="D383" s="32">
        <f t="shared" si="19"/>
        <v>0</v>
      </c>
      <c r="E383" s="32">
        <f>ROUND(Table157[[#This Row],[Beginning Balance]]*Table157[[#This Row],[Monthly Interest Rate]],2)</f>
        <v>0</v>
      </c>
      <c r="F383" s="32">
        <f t="shared" si="21"/>
        <v>-111</v>
      </c>
      <c r="G383" s="45">
        <f>IFERROR(IF($C$13="No","N/A",IF(Table157[[#This Row],[Period]]=1,$C$6,PMT(InterestRate*AmortizationMultiplier/12,Table157[[#This Row],[Am Thru]],-Table157[[#This Row],[Beginning Balance]]))),0)</f>
        <v>0</v>
      </c>
      <c r="H383" s="32">
        <f>MAX(0,IF(C383=$C$4,D383,ROUND(IF($C$3="Fixed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3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3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3" s="32">
        <f>ROUND(Table157[[#This Row],[Defaulted Principal]]*IF($C$9="No",$E$4,VLOOKUP(Table157[[#This Row],[Period]],[1]Forecast!$H$2:$L$1048576,3,FALSE)),2)</f>
        <v>0</v>
      </c>
      <c r="L383" s="4">
        <f>Table157[[#This Row],[Period]]+$E$9</f>
        <v>379</v>
      </c>
      <c r="M383" s="32">
        <f>Table157[[#This Row],[Defaulted Principal]]-Table157[[#This Row],[Estimated Loss]]</f>
        <v>0</v>
      </c>
      <c r="N383" s="32">
        <f>IFERROR(VLOOKUP(Table157[[#This Row],[Period]],$L$16:$M$385,2,FALSE),0)</f>
        <v>0</v>
      </c>
      <c r="O383" s="32">
        <f>Table157[[#This Row],[Beginning Balance]]-Table157[[#This Row],[Principal]]-Table157[[#This Row],[Prepayments]]-Table157[[#This Row],[Defaulted Principal]]</f>
        <v>0</v>
      </c>
      <c r="P383" s="32">
        <f>Table157[[#This Row],[Principal]]+Table157[[#This Row],[Interest]]+Table157[[#This Row],[Prepayments]]+Table157[[#This Row],[RecoveredAmount]]</f>
        <v>0</v>
      </c>
      <c r="Q383" s="32">
        <f ca="1">ROUND(Table157[[#This Row],[Cash Flow]]/((1+ActualRateToUse)^(IF(ISNUMBER(SEARCH("Actual",$C$7)),Table157[[#This Row],[Running Total]]/365,Table157[[#This Row],[Period]]/12))),2)</f>
        <v>0</v>
      </c>
      <c r="R383" s="4">
        <f>IF(MONTH(Table157[[#This Row],[Date]])=2,28,DAY(DATE(YEAR(Table157[[#This Row],[Date]]),MONTH(Table157[[#This Row],[Date]])+1,1)-1))</f>
        <v>31</v>
      </c>
      <c r="S383" s="4">
        <f ca="1">SUM(OFFSET(Table157[[#Headers],[Days in month]],1,0):Table157[[#This Row],[Days in month]])</f>
        <v>11165</v>
      </c>
      <c r="T383" s="30">
        <f>InterestRate*AmortizationMultiplier*IF(ISNUMBER(SEARCH("Actual",$C$7)),Table157[[#This Row],[Days in month]]/365,1/12)</f>
        <v>2.9708333333333331E-3</v>
      </c>
    </row>
    <row r="384" spans="2:20" x14ac:dyDescent="0.2">
      <c r="B384" s="41">
        <f t="shared" si="18"/>
        <v>57039</v>
      </c>
      <c r="C384" s="4">
        <f t="shared" si="20"/>
        <v>368</v>
      </c>
      <c r="D384" s="32">
        <f t="shared" si="19"/>
        <v>0</v>
      </c>
      <c r="E384" s="32">
        <f>ROUND(Table157[[#This Row],[Beginning Balance]]*Table157[[#This Row],[Monthly Interest Rate]],2)</f>
        <v>0</v>
      </c>
      <c r="F384" s="32">
        <f t="shared" si="21"/>
        <v>-112</v>
      </c>
      <c r="G384" s="45">
        <f>IFERROR(IF($C$13="No","N/A",IF(Table157[[#This Row],[Period]]=1,$C$6,PMT(InterestRate*AmortizationMultiplier/12,Table157[[#This Row],[Am Thru]],-Table157[[#This Row],[Beginning Balance]]))),0)</f>
        <v>0</v>
      </c>
      <c r="H384" s="32">
        <f>MAX(0,IF(C384=$C$4,D384,ROUND(IF($C$3="Fixed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4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4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4" s="32">
        <f>ROUND(Table157[[#This Row],[Defaulted Principal]]*IF($C$9="No",$E$4,VLOOKUP(Table157[[#This Row],[Period]],[1]Forecast!$H$2:$L$1048576,3,FALSE)),2)</f>
        <v>0</v>
      </c>
      <c r="L384" s="4">
        <f>Table157[[#This Row],[Period]]+$E$9</f>
        <v>380</v>
      </c>
      <c r="M384" s="32">
        <f>Table157[[#This Row],[Defaulted Principal]]-Table157[[#This Row],[Estimated Loss]]</f>
        <v>0</v>
      </c>
      <c r="N384" s="32">
        <f>IFERROR(VLOOKUP(Table157[[#This Row],[Period]],$L$16:$M$385,2,FALSE),0)</f>
        <v>0</v>
      </c>
      <c r="O384" s="32">
        <f>Table157[[#This Row],[Beginning Balance]]-Table157[[#This Row],[Principal]]-Table157[[#This Row],[Prepayments]]-Table157[[#This Row],[Defaulted Principal]]</f>
        <v>0</v>
      </c>
      <c r="P384" s="32">
        <f>Table157[[#This Row],[Principal]]+Table157[[#This Row],[Interest]]+Table157[[#This Row],[Prepayments]]+Table157[[#This Row],[RecoveredAmount]]</f>
        <v>0</v>
      </c>
      <c r="Q384" s="32">
        <f ca="1">ROUND(Table157[[#This Row],[Cash Flow]]/((1+ActualRateToUse)^(IF(ISNUMBER(SEARCH("Actual",$C$7)),Table157[[#This Row],[Running Total]]/365,Table157[[#This Row],[Period]]/12))),2)</f>
        <v>0</v>
      </c>
      <c r="R384" s="4">
        <f>IF(MONTH(Table157[[#This Row],[Date]])=2,28,DAY(DATE(YEAR(Table157[[#This Row],[Date]]),MONTH(Table157[[#This Row],[Date]])+1,1)-1))</f>
        <v>28</v>
      </c>
      <c r="S384" s="4">
        <f ca="1">SUM(OFFSET(Table157[[#Headers],[Days in month]],1,0):Table157[[#This Row],[Days in month]])</f>
        <v>11193</v>
      </c>
      <c r="T384" s="30">
        <f>InterestRate*AmortizationMultiplier*IF(ISNUMBER(SEARCH("Actual",$C$7)),Table157[[#This Row],[Days in month]]/365,1/12)</f>
        <v>2.6833333333333336E-3</v>
      </c>
    </row>
    <row r="385" spans="2:20" x14ac:dyDescent="0.2">
      <c r="B385" s="41">
        <f t="shared" si="18"/>
        <v>57070</v>
      </c>
      <c r="C385" s="4">
        <f t="shared" si="20"/>
        <v>369</v>
      </c>
      <c r="D385" s="32">
        <f t="shared" si="19"/>
        <v>0</v>
      </c>
      <c r="E385" s="32">
        <f>ROUND(Table157[[#This Row],[Beginning Balance]]*Table157[[#This Row],[Monthly Interest Rate]],2)</f>
        <v>0</v>
      </c>
      <c r="F385" s="32">
        <f t="shared" si="21"/>
        <v>-113</v>
      </c>
      <c r="G385" s="45">
        <f>IFERROR(IF($C$13="No","N/A",IF(Table157[[#This Row],[Period]]=1,$C$6,PMT(InterestRate*AmortizationMultiplier/12,Table157[[#This Row],[Am Thru]],-Table157[[#This Row],[Beginning Balance]]))),0)</f>
        <v>0</v>
      </c>
      <c r="H385" s="32">
        <f>MAX(0,IF(C385=$C$4,D385,ROUND(IF($C$3="Fixed Principal",$C$6-Table157[[#This Row],[Interest]],IF($C$3="Interest Only",Table157[[#This Row],[Beginning Balance]]*ROUND(1-(1-IF($C$11="No",$E$8,1))^(1/12),6),MIN(IF($C$13="Yes",Table157[[#This Row],[Payment Amount (Reamortized)]],$C$6)-Table157[[#This Row],[Interest]],Table157[[#This Row],[Beginning Balance]]))),2)))</f>
        <v>0</v>
      </c>
      <c r="I385" s="32">
        <f>_xlfn.SINGLE(IF($C$3="Line of Credit",0,ROUND(MAX(MIN(IF($C$10="No",$E$7,VLOOKUP(Table157[[#This Row],[Period]],[1]Forecast!$H$2:$L$1048576,4,FALSE))*Table157[[#This Row],[Beginning Balance]],Table157[[#This Row],[Beginning Balance]]-Table157[[#This Row],[Principal]]),0),2)))</f>
        <v>0</v>
      </c>
      <c r="J385" s="32">
        <f>ROUND(MIN(Table157[[#This Row],[Beginning Balance]]*IF($C$8="No",$E$3,VLOOKUP(Table157[[#This Row],[Period]],[1]Forecast!$H$2:$L$1048576,2,FALSE)),Table157[[#This Row],[Beginning Balance]]-Table157[[#This Row],[Principal]]-Table157[[#This Row],[Prepayments]]),2)</f>
        <v>0</v>
      </c>
      <c r="K385" s="32">
        <f>ROUND(Table157[[#This Row],[Defaulted Principal]]*IF($C$9="No",$E$4,VLOOKUP(Table157[[#This Row],[Period]],[1]Forecast!$H$2:$L$1048576,3,FALSE)),2)</f>
        <v>0</v>
      </c>
      <c r="L385" s="4">
        <f>Table157[[#This Row],[Period]]+$E$9</f>
        <v>381</v>
      </c>
      <c r="M385" s="32">
        <f>Table157[[#This Row],[Defaulted Principal]]-Table157[[#This Row],[Estimated Loss]]</f>
        <v>0</v>
      </c>
      <c r="N385" s="32">
        <f>IFERROR(VLOOKUP(Table157[[#This Row],[Period]],$L$16:$M$385,2,FALSE),0)</f>
        <v>0</v>
      </c>
      <c r="O385" s="32">
        <f>Table157[[#This Row],[Beginning Balance]]-Table157[[#This Row],[Principal]]-Table157[[#This Row],[Prepayments]]-Table157[[#This Row],[Defaulted Principal]]</f>
        <v>0</v>
      </c>
      <c r="P385" s="32">
        <f>Table157[[#This Row],[Principal]]+Table157[[#This Row],[Interest]]+Table157[[#This Row],[Prepayments]]+Table157[[#This Row],[RecoveredAmount]]</f>
        <v>0</v>
      </c>
      <c r="Q385" s="32">
        <f ca="1">ROUND(Table157[[#This Row],[Cash Flow]]/((1+ActualRateToUse)^(IF(ISNUMBER(SEARCH("Actual",$C$7)),Table157[[#This Row],[Running Total]]/365,Table157[[#This Row],[Period]]/12))),2)</f>
        <v>0</v>
      </c>
      <c r="R385" s="4">
        <f>IF(MONTH(Table157[[#This Row],[Date]])=2,28,DAY(DATE(YEAR(Table157[[#This Row],[Date]]),MONTH(Table157[[#This Row],[Date]])+1,1)-1))</f>
        <v>31</v>
      </c>
      <c r="S385" s="4">
        <f ca="1">SUM(OFFSET(Table157[[#Headers],[Days in month]],1,0):Table157[[#This Row],[Days in month]])</f>
        <v>11224</v>
      </c>
      <c r="T385" s="30">
        <f>InterestRate*AmortizationMultiplier*IF(ISNUMBER(SEARCH("Actual",$C$7)),Table157[[#This Row],[Days in month]]/365,1/12)</f>
        <v>2.9708333333333331E-3</v>
      </c>
    </row>
  </sheetData>
  <sheetProtection formatCells="0" formatColumns="0" formatRows="0" insertColumns="0"/>
  <mergeCells count="1">
    <mergeCell ref="I2:J2"/>
  </mergeCells>
  <pageMargins left="0.7" right="0.7" top="0.75" bottom="0.75" header="0.3" footer="0.3"/>
  <pageSetup scale="70" fitToHeight="0" orientation="landscape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3" baseType="lpstr">
      <vt:lpstr>DCF Calc 3</vt:lpstr>
      <vt:lpstr>'DCF Calc 3'!ActualRateToUse</vt:lpstr>
      <vt:lpstr>'DCF Calc 3'!AmortizationMultiplier</vt:lpstr>
      <vt:lpstr>'DCF Calc 3'!DCFSettings</vt:lpstr>
      <vt:lpstr>'DCF Calc 3'!DCFSettingsCopy</vt:lpstr>
      <vt:lpstr>'DCF Calc 3'!DiscountRate</vt:lpstr>
      <vt:lpstr>'DCF Calc 3'!DiscountRateToUse</vt:lpstr>
      <vt:lpstr>'DCF Calc 3'!InterestRate</vt:lpstr>
      <vt:lpstr>'DCF Calc 3'!LossGivenDefault</vt:lpstr>
      <vt:lpstr>'DCF Calc 3'!ManualDiscountRate</vt:lpstr>
      <vt:lpstr>'DCF Calc 3'!PrepaymentRate</vt:lpstr>
      <vt:lpstr>'DCF Calc 3'!ProbabilityOfDefault</vt:lpstr>
      <vt:lpstr>'DCF Calc 3'!ReserveAmount</vt:lpstr>
    </vt:vector>
  </TitlesOfParts>
  <Company>Crowe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Rachur, Achyuth</dc:creator>
  <cp:lastModifiedBy>Rachur, Achyuth</cp:lastModifiedBy>
  <dcterms:created xsi:type="dcterms:W3CDTF">2026-01-09T16:57:51Z</dcterms:created>
  <dcterms:modified xsi:type="dcterms:W3CDTF">2026-01-09T16:58:25Z</dcterms:modified>
</cp:coreProperties>
</file>